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codeName="BuÇalışmaKitabı" hidePivotFieldList="1" defaultThemeVersion="124226"/>
  <xr:revisionPtr revIDLastSave="0" documentId="13_ncr:1_{A12706D5-D361-4985-88F0-0D9E4419E8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Vlookup" sheetId="2" r:id="rId2"/>
    <sheet name="Filtreleme ve Adet Yazma" sheetId="3" r:id="rId3"/>
    <sheet name="Text Functions" sheetId="4" r:id="rId4"/>
  </sheets>
  <externalReferences>
    <externalReference r:id="rId5"/>
  </externalReferences>
  <definedNames>
    <definedName name="_xlnm._FilterDatabase" localSheetId="2" hidden="1">'Filtreleme ve Adet Yazma'!$B$3:$H$12</definedName>
    <definedName name="_xlnm._FilterDatabase" localSheetId="3" hidden="1">'Text Functions'!$L$4:$M$9</definedName>
    <definedName name="ÜN">[1]!tblEnvanter[SKU/ÜRÜN NO]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F4" i="1"/>
  <c r="G3" i="1"/>
  <c r="G7" i="1"/>
  <c r="G11" i="1"/>
  <c r="E3" i="1"/>
  <c r="F3" i="1" s="1"/>
  <c r="E4" i="1"/>
  <c r="G4" i="1" s="1"/>
  <c r="E5" i="1"/>
  <c r="F5" i="1" s="1"/>
  <c r="E6" i="1"/>
  <c r="F6" i="1" s="1"/>
  <c r="E7" i="1"/>
  <c r="F7" i="1" s="1"/>
  <c r="E8" i="1"/>
  <c r="G8" i="1" s="1"/>
  <c r="E9" i="1"/>
  <c r="G9" i="1" s="1"/>
  <c r="E10" i="1"/>
  <c r="G10" i="1" s="1"/>
  <c r="E11" i="1"/>
  <c r="F11" i="1" s="1"/>
  <c r="F10" i="1" l="1"/>
  <c r="F9" i="1"/>
  <c r="F8" i="1"/>
  <c r="F2" i="1"/>
  <c r="G2" i="1"/>
  <c r="G14" i="1"/>
  <c r="G13" i="1"/>
  <c r="G6" i="1"/>
  <c r="G5" i="1"/>
  <c r="D13" i="1"/>
  <c r="D14" i="1"/>
  <c r="D15" i="1"/>
  <c r="D16" i="1"/>
  <c r="F21" i="4"/>
  <c r="F20" i="4"/>
  <c r="F19" i="4"/>
  <c r="F18" i="4"/>
  <c r="G5" i="4"/>
  <c r="G6" i="4"/>
  <c r="G7" i="4"/>
  <c r="G8" i="4"/>
  <c r="G9" i="4"/>
  <c r="H5" i="4"/>
  <c r="H6" i="4"/>
  <c r="H7" i="4"/>
  <c r="H8" i="4"/>
  <c r="H9" i="4"/>
  <c r="I5" i="4"/>
  <c r="I6" i="4"/>
  <c r="I7" i="4"/>
  <c r="I8" i="4"/>
  <c r="I9" i="4"/>
  <c r="H4" i="4"/>
  <c r="G4" i="4"/>
  <c r="F5" i="4"/>
  <c r="F6" i="4"/>
  <c r="F7" i="4"/>
  <c r="F8" i="4"/>
  <c r="F9" i="4"/>
  <c r="F4" i="4"/>
  <c r="E5" i="4"/>
  <c r="E6" i="4"/>
  <c r="E7" i="4"/>
  <c r="E8" i="4"/>
  <c r="E9" i="4"/>
  <c r="E4" i="4"/>
  <c r="I4" i="4" s="1"/>
  <c r="B14" i="2"/>
  <c r="D18" i="2" l="1"/>
  <c r="F18" i="2" s="1"/>
  <c r="D14" i="2"/>
  <c r="F14" i="2" s="1"/>
</calcChain>
</file>

<file path=xl/sharedStrings.xml><?xml version="1.0" encoding="utf-8"?>
<sst xmlns="http://schemas.openxmlformats.org/spreadsheetml/2006/main" count="130" uniqueCount="111">
  <si>
    <t>Harf Notları</t>
  </si>
  <si>
    <t>0-45</t>
  </si>
  <si>
    <t>FF</t>
  </si>
  <si>
    <t>46-60</t>
  </si>
  <si>
    <t>DD</t>
  </si>
  <si>
    <t>61-70</t>
  </si>
  <si>
    <t>CC</t>
  </si>
  <si>
    <t>71-80</t>
  </si>
  <si>
    <t>BB</t>
  </si>
  <si>
    <t>81-100</t>
  </si>
  <si>
    <t>AA</t>
  </si>
  <si>
    <t>Öğrenci 1</t>
  </si>
  <si>
    <t>Öğrenci 2</t>
  </si>
  <si>
    <t>Öğrenci 3</t>
  </si>
  <si>
    <t>Öğrenci 4</t>
  </si>
  <si>
    <t>Öğrenci 5</t>
  </si>
  <si>
    <t>Öğrenci 6</t>
  </si>
  <si>
    <t>Öğrenci 7</t>
  </si>
  <si>
    <t>Öğrenci 8</t>
  </si>
  <si>
    <t>Öğrenci 9</t>
  </si>
  <si>
    <t>Öğrenci 10</t>
  </si>
  <si>
    <t>Harf Notu</t>
  </si>
  <si>
    <t>Telefon</t>
  </si>
  <si>
    <t>Kamera</t>
  </si>
  <si>
    <t>Saat</t>
  </si>
  <si>
    <t>Parfüm</t>
  </si>
  <si>
    <t>Laptop</t>
  </si>
  <si>
    <t>Ayakkabı</t>
  </si>
  <si>
    <t>Ceket</t>
  </si>
  <si>
    <t>Gömlek</t>
  </si>
  <si>
    <t>Ürünler</t>
  </si>
  <si>
    <t>Ürün Kodu</t>
  </si>
  <si>
    <t>Miktar</t>
  </si>
  <si>
    <t>Fiyat</t>
  </si>
  <si>
    <t>1000-165-B100</t>
  </si>
  <si>
    <t>1000-165-B200</t>
  </si>
  <si>
    <t>1000-165-B300</t>
  </si>
  <si>
    <t>1000-165-B400</t>
  </si>
  <si>
    <t>1000-165-B500</t>
  </si>
  <si>
    <t>1000-165-B600</t>
  </si>
  <si>
    <t>1000-165-B700</t>
  </si>
  <si>
    <t>1000-165-B800</t>
  </si>
  <si>
    <t>Ürün Bul</t>
  </si>
  <si>
    <t xml:space="preserve">Toplam </t>
  </si>
  <si>
    <t>Liste Sistemi (Veri Doğrulama)</t>
  </si>
  <si>
    <t>Battaniye</t>
  </si>
  <si>
    <t>Masa Örtüsü</t>
  </si>
  <si>
    <t>Ahmet SEYMEN</t>
  </si>
  <si>
    <t>Ali İNCİ</t>
  </si>
  <si>
    <t>Veysel HARUN</t>
  </si>
  <si>
    <t>Nevzat ÇELEBİ</t>
  </si>
  <si>
    <t>Tuğrul TATLI</t>
  </si>
  <si>
    <t>Mustafa Ali MERT</t>
  </si>
  <si>
    <t>Masa</t>
  </si>
  <si>
    <t>Saksı</t>
  </si>
  <si>
    <t>Bardak</t>
  </si>
  <si>
    <t>Birim Fiyat</t>
  </si>
  <si>
    <t>Satış Miktarı</t>
  </si>
  <si>
    <t>Ürün</t>
  </si>
  <si>
    <t>Müşteri</t>
  </si>
  <si>
    <t>İşlem</t>
  </si>
  <si>
    <t>Tarih</t>
  </si>
  <si>
    <t>CTRL+Shift+ L</t>
  </si>
  <si>
    <t>Stok</t>
  </si>
  <si>
    <t xml:space="preserve">     Levent ÇALLI</t>
  </si>
  <si>
    <t xml:space="preserve">    Mustafa YILMAZ</t>
  </si>
  <si>
    <t xml:space="preserve">        Numan SEYMEN</t>
  </si>
  <si>
    <t xml:space="preserve"> İhsan SELVİ</t>
  </si>
  <si>
    <t xml:space="preserve">      YAŞAR RIZA</t>
  </si>
  <si>
    <t xml:space="preserve"> OYA ŞANLI</t>
  </si>
  <si>
    <t>KIRP</t>
  </si>
  <si>
    <t>Yazım Düzeni</t>
  </si>
  <si>
    <t>Büyük Harf</t>
  </si>
  <si>
    <t>Küçük Harf</t>
  </si>
  <si>
    <t>Uzunluk</t>
  </si>
  <si>
    <t>GİRDI</t>
  </si>
  <si>
    <t>SOL</t>
  </si>
  <si>
    <t>SAĞ</t>
  </si>
  <si>
    <t>BİRLEŞTİR</t>
  </si>
  <si>
    <t>Meryem</t>
  </si>
  <si>
    <t>Ana</t>
  </si>
  <si>
    <t>Eldiveni</t>
  </si>
  <si>
    <t>PARÇAAL</t>
  </si>
  <si>
    <t xml:space="preserve">DOLAR İŞARETİ KOYMAK İÇİN KISAYOL </t>
  </si>
  <si>
    <t>F4</t>
  </si>
  <si>
    <t>Levent</t>
  </si>
  <si>
    <t>ÇALLI</t>
  </si>
  <si>
    <t>Mustafa</t>
  </si>
  <si>
    <t>YILMAZ</t>
  </si>
  <si>
    <t>Numan</t>
  </si>
  <si>
    <t>SEYMEN</t>
  </si>
  <si>
    <t>İhsan</t>
  </si>
  <si>
    <t>SELVİ</t>
  </si>
  <si>
    <t>YAŞAR</t>
  </si>
  <si>
    <t>RIZA</t>
  </si>
  <si>
    <t>OYA</t>
  </si>
  <si>
    <t>ŞANLI</t>
  </si>
  <si>
    <t>Metni Sütuna Dönüştür</t>
  </si>
  <si>
    <t>Başarı Notu</t>
  </si>
  <si>
    <t>Vize</t>
  </si>
  <si>
    <t>Ödev</t>
  </si>
  <si>
    <t>Final</t>
  </si>
  <si>
    <t>Oranlar</t>
  </si>
  <si>
    <t>Ortalama</t>
  </si>
  <si>
    <t>Durumu</t>
  </si>
  <si>
    <t>Geçme Notu</t>
  </si>
  <si>
    <t>En Yüksek Not</t>
  </si>
  <si>
    <t>En Düşük Not</t>
  </si>
  <si>
    <t>Başarılı Öğrenci Sayısı</t>
  </si>
  <si>
    <t>Başarısız Öğrenci Sayısı</t>
  </si>
  <si>
    <t>Finale Giren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</si>
</sst>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&quot;₺&quot;"/>
    <numFmt numFmtId="165" formatCode="_-* #,##0\ &quot;₺&quot;_-;\-* #,##0\ &quot;₺&quot;_-;_-* &quot;-&quot;??\ &quot;₺&quot;_-;_-@_-"/>
    <numFmt numFmtId="166" formatCode="#,##0.00\ &quot;TL&quot;"/>
    <numFmt numFmtId="167" formatCode="[$-F800]dddd\,\ mmmm\ dd\,\ yyyy"/>
    <numFmt numFmtId="168" formatCode="h:mm;@"/>
    <numFmt numFmtId="169" formatCode="#\ &quot;Adet&quot;"/>
    <numFmt numFmtId="170" formatCode="#\ &quot; Adet&quot;"/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5" borderId="1" xfId="0" applyFont="1" applyFill="1" applyBorder="1" applyAlignment="1">
      <alignment horizontal="center"/>
    </xf>
    <xf numFmtId="165" fontId="0" fillId="0" borderId="1" xfId="0" applyNumberFormat="1" applyBorder="1"/>
    <xf numFmtId="0" fontId="0" fillId="8" borderId="1" xfId="0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166" fontId="0" fillId="8" borderId="1" xfId="0" applyNumberFormat="1" applyFont="1" applyFill="1" applyBorder="1" applyAlignment="1">
      <alignment horizontal="right" vertical="center" indent="2"/>
    </xf>
    <xf numFmtId="167" fontId="0" fillId="8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right" vertical="center" indent="2"/>
    </xf>
    <xf numFmtId="168" fontId="0" fillId="8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169" fontId="0" fillId="8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70" fontId="3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169" fontId="2" fillId="9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0" fillId="11" borderId="1" xfId="0" applyFill="1" applyBorder="1"/>
    <xf numFmtId="0" fontId="0" fillId="10" borderId="1" xfId="0" applyFill="1" applyBorder="1"/>
    <xf numFmtId="0" fontId="0" fillId="0" borderId="0" xfId="0" applyFill="1" applyBorder="1"/>
    <xf numFmtId="0" fontId="0" fillId="0" borderId="0" xfId="0" applyFill="1"/>
    <xf numFmtId="0" fontId="0" fillId="2" borderId="1" xfId="0" applyFill="1" applyBorder="1"/>
    <xf numFmtId="0" fontId="2" fillId="0" borderId="1" xfId="0" applyFont="1" applyBorder="1"/>
    <xf numFmtId="0" fontId="2" fillId="11" borderId="1" xfId="0" applyFon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171" fontId="0" fillId="1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Yüzd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231249</xdr:colOff>
      <xdr:row>17</xdr:row>
      <xdr:rowOff>1</xdr:rowOff>
    </xdr:from>
    <xdr:to>
      <xdr:col>3</xdr:col>
      <xdr:colOff>1042778</xdr:colOff>
      <xdr:row>27</xdr:row>
      <xdr:rowOff>66675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49" y="3238501"/>
          <a:ext cx="2640329" cy="19716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F03107641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tış Verileri"/>
      <sheetName val="Satış Raporu"/>
      <sheetName val="Envanter"/>
      <sheetName val="TF031076412"/>
    </sheetNames>
    <sheetDataSet>
      <sheetData sheetId="0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W24"/>
  <sheetViews>
    <sheetView tabSelected="1" zoomScale="85" zoomScaleNormal="85" workbookViewId="0">
      <selection activeCell="G29" sqref="G29"/>
    </sheetView>
  </sheetViews>
  <sheetFormatPr defaultRowHeight="15" x14ac:dyDescent="0.25"/>
  <cols>
    <col min="1" max="1" width="10.140625" customWidth="1"/>
    <col min="2" max="2" width="7.5703125" customWidth="1"/>
    <col min="3" max="3" width="5.42578125" customWidth="1"/>
    <col min="4" max="4" width="6.42578125" customWidth="1"/>
    <col min="5" max="5" width="10.85546875" customWidth="1"/>
    <col min="6" max="6" width="10.42578125" customWidth="1"/>
    <col min="7" max="7" width="9.28515625" customWidth="1"/>
    <col min="8" max="8" width="2.5703125" customWidth="1"/>
    <col min="9" max="9" width="11.7109375" customWidth="1"/>
    <col min="10" max="10" width="11.140625" customWidth="1"/>
    <col min="15" max="15" width="7.42578125" customWidth="1"/>
    <col min="16" max="16" width="11.7109375" customWidth="1"/>
    <col min="20" max="20" width="3.7109375" customWidth="1"/>
    <col min="21" max="21" width="2.7109375" customWidth="1"/>
    <col min="22" max="22" width="25" customWidth="1"/>
  </cols>
  <sheetData>
    <row r="1" spans="1:23" x14ac:dyDescent="0.25">
      <c r="A1" s="2"/>
      <c r="B1" s="32" t="s">
        <v>99</v>
      </c>
      <c r="C1" s="32" t="s">
        <v>100</v>
      </c>
      <c r="D1" s="32" t="s">
        <v>101</v>
      </c>
      <c r="E1" s="2" t="s">
        <v>98</v>
      </c>
      <c r="F1" s="32" t="s">
        <v>104</v>
      </c>
      <c r="G1" s="2" t="s">
        <v>21</v>
      </c>
      <c r="H1" s="37"/>
      <c r="I1" s="45" t="s">
        <v>0</v>
      </c>
      <c r="J1" s="46"/>
    </row>
    <row r="2" spans="1:23" x14ac:dyDescent="0.25">
      <c r="A2" s="29" t="s">
        <v>11</v>
      </c>
      <c r="B2" s="31">
        <v>89</v>
      </c>
      <c r="C2" s="31">
        <v>90</v>
      </c>
      <c r="D2" s="31">
        <v>76</v>
      </c>
      <c r="E2" s="35">
        <f t="shared" ref="E2:E11" si="0">B2*$J$8+C2*$J$9+D2*$J$10</f>
        <v>81.400000000000006</v>
      </c>
      <c r="F2" s="31" t="str">
        <f>IF(E2&lt;$J$11,"Kaldı","Geçti")</f>
        <v>Geçti</v>
      </c>
      <c r="G2" s="31" t="str">
        <f>IF(E2&gt;=80.5,"AA",IF(E2&gt;=70.5,"BB",IF(E2&gt;=60.5,"CC",IF(E2&gt;=45,"DD",IF(E2&gt;=0,"FF")))))</f>
        <v>AA</v>
      </c>
      <c r="H2" s="38"/>
      <c r="I2" s="30" t="s">
        <v>1</v>
      </c>
      <c r="J2" s="31" t="s">
        <v>2</v>
      </c>
      <c r="V2" s="28" t="s">
        <v>83</v>
      </c>
      <c r="W2" s="28" t="s">
        <v>84</v>
      </c>
    </row>
    <row r="3" spans="1:23" x14ac:dyDescent="0.25">
      <c r="A3" s="29" t="s">
        <v>12</v>
      </c>
      <c r="B3" s="31">
        <v>37</v>
      </c>
      <c r="C3" s="31">
        <v>45</v>
      </c>
      <c r="D3" s="31">
        <v>73</v>
      </c>
      <c r="E3" s="35">
        <f t="shared" si="0"/>
        <v>60.199999999999996</v>
      </c>
      <c r="F3" s="31" t="str">
        <f t="shared" ref="F3:F11" si="1">IF(E3&lt;$J$11,"Kaldı","Geçti")</f>
        <v>Geçti</v>
      </c>
      <c r="G3" s="31" t="str">
        <f t="shared" ref="G3:G11" si="2">IF(E3&gt;=80.5,"AA",IF(E3&gt;=70.5,"BB",IF(E3&gt;=60.5,"CC",IF(E3&gt;=45,"DD",IF(E3&gt;=0,"FF")))))</f>
        <v>DD</v>
      </c>
      <c r="H3" s="38"/>
      <c r="I3" s="30" t="s">
        <v>3</v>
      </c>
      <c r="J3" s="31" t="s">
        <v>4</v>
      </c>
    </row>
    <row r="4" spans="1:23" x14ac:dyDescent="0.25">
      <c r="A4" s="29" t="s">
        <v>13</v>
      </c>
      <c r="B4" s="31">
        <v>21</v>
      </c>
      <c r="C4" s="31">
        <v>15</v>
      </c>
      <c r="D4" s="31">
        <v>63</v>
      </c>
      <c r="E4" s="35">
        <f t="shared" si="0"/>
        <v>45</v>
      </c>
      <c r="F4" s="31" t="str">
        <f t="shared" si="1"/>
        <v>Geçti</v>
      </c>
      <c r="G4" s="31" t="str">
        <f t="shared" si="2"/>
        <v>DD</v>
      </c>
      <c r="H4" s="38"/>
      <c r="I4" s="30" t="s">
        <v>5</v>
      </c>
      <c r="J4" s="31" t="s">
        <v>6</v>
      </c>
    </row>
    <row r="5" spans="1:23" x14ac:dyDescent="0.25">
      <c r="A5" s="29" t="s">
        <v>14</v>
      </c>
      <c r="B5" s="31">
        <v>30</v>
      </c>
      <c r="C5" s="31">
        <v>40</v>
      </c>
      <c r="D5" s="31">
        <v>51</v>
      </c>
      <c r="E5" s="35">
        <f t="shared" si="0"/>
        <v>44.599999999999994</v>
      </c>
      <c r="F5" s="31" t="str">
        <f t="shared" si="1"/>
        <v>Kaldı</v>
      </c>
      <c r="G5" s="31" t="str">
        <f t="shared" si="2"/>
        <v>FF</v>
      </c>
      <c r="H5" s="38"/>
      <c r="I5" s="30" t="s">
        <v>7</v>
      </c>
      <c r="J5" s="31" t="s">
        <v>8</v>
      </c>
    </row>
    <row r="6" spans="1:23" x14ac:dyDescent="0.25">
      <c r="A6" s="29" t="s">
        <v>15</v>
      </c>
      <c r="B6" s="31">
        <v>15</v>
      </c>
      <c r="C6" s="31">
        <v>45</v>
      </c>
      <c r="D6" s="31">
        <v>60</v>
      </c>
      <c r="E6" s="35">
        <f t="shared" si="0"/>
        <v>48</v>
      </c>
      <c r="F6" s="31" t="str">
        <f t="shared" si="1"/>
        <v>Geçti</v>
      </c>
      <c r="G6" s="31" t="str">
        <f t="shared" si="2"/>
        <v>DD</v>
      </c>
      <c r="H6" s="38"/>
      <c r="I6" s="30" t="s">
        <v>9</v>
      </c>
      <c r="J6" s="31" t="s">
        <v>10</v>
      </c>
    </row>
    <row r="7" spans="1:23" x14ac:dyDescent="0.25">
      <c r="A7" s="29" t="s">
        <v>16</v>
      </c>
      <c r="B7" s="31">
        <v>34</v>
      </c>
      <c r="C7" s="31">
        <v>4</v>
      </c>
      <c r="D7" s="31">
        <v>28</v>
      </c>
      <c r="E7" s="35">
        <f t="shared" si="0"/>
        <v>24.400000000000002</v>
      </c>
      <c r="F7" s="31" t="str">
        <f t="shared" si="1"/>
        <v>Kaldı</v>
      </c>
      <c r="G7" s="31" t="str">
        <f t="shared" si="2"/>
        <v>FF</v>
      </c>
      <c r="H7" s="38"/>
      <c r="I7" s="45" t="s">
        <v>102</v>
      </c>
      <c r="J7" s="46"/>
    </row>
    <row r="8" spans="1:23" x14ac:dyDescent="0.25">
      <c r="A8" s="29" t="s">
        <v>17</v>
      </c>
      <c r="B8" s="31">
        <v>78</v>
      </c>
      <c r="C8" s="31">
        <v>48</v>
      </c>
      <c r="D8" s="31">
        <v>59</v>
      </c>
      <c r="E8" s="35">
        <f t="shared" si="0"/>
        <v>60.6</v>
      </c>
      <c r="F8" s="31" t="str">
        <f t="shared" si="1"/>
        <v>Geçti</v>
      </c>
      <c r="G8" s="31" t="str">
        <f t="shared" si="2"/>
        <v>CC</v>
      </c>
      <c r="H8" s="38"/>
      <c r="I8" s="30" t="s">
        <v>99</v>
      </c>
      <c r="J8" s="33">
        <v>0.2</v>
      </c>
    </row>
    <row r="9" spans="1:23" x14ac:dyDescent="0.25">
      <c r="A9" s="29" t="s">
        <v>18</v>
      </c>
      <c r="B9" s="31">
        <v>93</v>
      </c>
      <c r="C9" s="31">
        <v>21</v>
      </c>
      <c r="D9" s="31">
        <v>6</v>
      </c>
      <c r="E9" s="35">
        <f t="shared" si="0"/>
        <v>26.4</v>
      </c>
      <c r="F9" s="31" t="str">
        <f t="shared" si="1"/>
        <v>Kaldı</v>
      </c>
      <c r="G9" s="31" t="str">
        <f t="shared" si="2"/>
        <v>FF</v>
      </c>
      <c r="H9" s="38"/>
      <c r="I9" s="30" t="s">
        <v>100</v>
      </c>
      <c r="J9" s="33">
        <v>0.2</v>
      </c>
    </row>
    <row r="10" spans="1:23" x14ac:dyDescent="0.25">
      <c r="A10" s="29" t="s">
        <v>19</v>
      </c>
      <c r="B10" s="31">
        <v>91</v>
      </c>
      <c r="C10" s="31">
        <v>49</v>
      </c>
      <c r="D10" s="31">
        <v>14</v>
      </c>
      <c r="E10" s="35">
        <f t="shared" si="0"/>
        <v>36.4</v>
      </c>
      <c r="F10" s="31" t="str">
        <f t="shared" si="1"/>
        <v>Kaldı</v>
      </c>
      <c r="G10" s="31" t="str">
        <f t="shared" si="2"/>
        <v>FF</v>
      </c>
      <c r="H10" s="38"/>
      <c r="I10" s="30" t="s">
        <v>101</v>
      </c>
      <c r="J10" s="33">
        <v>0.6</v>
      </c>
    </row>
    <row r="11" spans="1:23" x14ac:dyDescent="0.25">
      <c r="A11" s="29" t="s">
        <v>20</v>
      </c>
      <c r="B11" s="31">
        <v>88</v>
      </c>
      <c r="C11" s="31">
        <v>38</v>
      </c>
      <c r="D11" s="31">
        <v>45</v>
      </c>
      <c r="E11" s="35">
        <f t="shared" si="0"/>
        <v>52.2</v>
      </c>
      <c r="F11" s="31" t="str">
        <f t="shared" si="1"/>
        <v>Geçti</v>
      </c>
      <c r="G11" s="31" t="str">
        <f t="shared" si="2"/>
        <v>DD</v>
      </c>
      <c r="H11" s="38"/>
      <c r="I11" s="30" t="s">
        <v>105</v>
      </c>
      <c r="J11" s="34">
        <v>45</v>
      </c>
    </row>
    <row r="12" spans="1:23" x14ac:dyDescent="0.25">
      <c r="A12" s="39"/>
      <c r="B12" s="38"/>
      <c r="C12" s="38"/>
      <c r="D12" s="38"/>
      <c r="E12" s="38"/>
      <c r="F12" s="38"/>
      <c r="G12" s="38"/>
      <c r="H12" s="38"/>
      <c r="I12" s="38"/>
      <c r="J12" s="40"/>
    </row>
    <row r="13" spans="1:23" x14ac:dyDescent="0.25">
      <c r="A13" s="39"/>
      <c r="B13" s="44" t="s">
        <v>103</v>
      </c>
      <c r="C13" s="44"/>
      <c r="D13" s="31">
        <f>AVERAGE(E2:E11)</f>
        <v>47.919999999999995</v>
      </c>
      <c r="E13" s="44" t="s">
        <v>108</v>
      </c>
      <c r="F13" s="44"/>
      <c r="G13" s="36">
        <f>COUNTIF(F2:F11,"Geçti")</f>
        <v>6</v>
      </c>
      <c r="H13" s="38"/>
      <c r="I13" s="38"/>
      <c r="J13" s="40"/>
    </row>
    <row r="14" spans="1:23" x14ac:dyDescent="0.25">
      <c r="A14" s="39"/>
      <c r="B14" s="44" t="s">
        <v>110</v>
      </c>
      <c r="C14" s="44"/>
      <c r="D14" s="31">
        <f>COUNT(E2:E11)</f>
        <v>10</v>
      </c>
      <c r="E14" s="44" t="s">
        <v>109</v>
      </c>
      <c r="F14" s="44"/>
      <c r="G14" s="36">
        <f>COUNTIF(F2:F11,"Kaldı")</f>
        <v>4</v>
      </c>
      <c r="H14" s="38"/>
      <c r="I14" s="38"/>
      <c r="J14" s="40"/>
    </row>
    <row r="15" spans="1:23" x14ac:dyDescent="0.25">
      <c r="A15" s="39"/>
      <c r="B15" s="44" t="s">
        <v>106</v>
      </c>
      <c r="C15" s="44"/>
      <c r="D15" s="31">
        <f>MAX(E2:E11)</f>
        <v>81.400000000000006</v>
      </c>
      <c r="E15" s="38"/>
      <c r="F15" s="38"/>
      <c r="G15" s="38"/>
      <c r="H15" s="38"/>
      <c r="I15" s="38"/>
      <c r="J15" s="40"/>
    </row>
    <row r="16" spans="1:23" x14ac:dyDescent="0.25">
      <c r="A16" s="41"/>
      <c r="B16" s="44" t="s">
        <v>107</v>
      </c>
      <c r="C16" s="44"/>
      <c r="D16" s="31">
        <f>MIN(E2:E11)</f>
        <v>24.400000000000002</v>
      </c>
      <c r="E16" s="42"/>
      <c r="F16" s="42"/>
      <c r="G16" s="42"/>
      <c r="H16" s="42"/>
      <c r="I16" s="42"/>
      <c r="J16" s="43"/>
    </row>
    <row r="24" spans="10:10" x14ac:dyDescent="0.25">
      <c r="J24" s="31"/>
    </row>
  </sheetData>
  <mergeCells count="8">
    <mergeCell ref="B16:C16"/>
    <mergeCell ref="I7:J7"/>
    <mergeCell ref="E13:F13"/>
    <mergeCell ref="E14:F14"/>
    <mergeCell ref="I1:J1"/>
    <mergeCell ref="B14:C14"/>
    <mergeCell ref="B13:C13"/>
    <mergeCell ref="B15:C15"/>
  </mergeCells>
  <conditionalFormatting sqref="F2:F11">
    <cfRule type="cellIs" dxfId="1" priority="1" operator="equal">
      <formula>"GEÇTİ"</formula>
    </cfRule>
    <cfRule type="cellIs" dxfId="0" priority="2" operator="equal">
      <formula>"KALDI"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B3:F18"/>
  <sheetViews>
    <sheetView workbookViewId="0">
      <selection activeCell="J18" sqref="J18"/>
    </sheetView>
  </sheetViews>
  <sheetFormatPr defaultRowHeight="15" x14ac:dyDescent="0.25"/>
  <cols>
    <col min="2" max="2" width="11.28515625" customWidth="1"/>
    <col min="3" max="3" width="13.85546875" customWidth="1"/>
    <col min="4" max="4" width="18.7109375" customWidth="1"/>
    <col min="5" max="5" width="12.140625" customWidth="1"/>
    <col min="6" max="6" width="13.42578125" customWidth="1"/>
  </cols>
  <sheetData>
    <row r="3" spans="2:6" x14ac:dyDescent="0.25">
      <c r="C3" s="3" t="s">
        <v>30</v>
      </c>
      <c r="D3" s="3" t="s">
        <v>31</v>
      </c>
      <c r="E3" s="3" t="s">
        <v>32</v>
      </c>
      <c r="F3" s="3" t="s">
        <v>33</v>
      </c>
    </row>
    <row r="4" spans="2:6" ht="15.75" x14ac:dyDescent="0.25">
      <c r="C4" s="4" t="s">
        <v>22</v>
      </c>
      <c r="D4" s="5" t="s">
        <v>34</v>
      </c>
      <c r="E4" s="20">
        <v>20</v>
      </c>
      <c r="F4" s="6">
        <v>12</v>
      </c>
    </row>
    <row r="5" spans="2:6" ht="15.75" x14ac:dyDescent="0.25">
      <c r="C5" s="4" t="s">
        <v>23</v>
      </c>
      <c r="D5" s="5" t="s">
        <v>35</v>
      </c>
      <c r="E5" s="20">
        <v>10</v>
      </c>
      <c r="F5" s="6">
        <v>43</v>
      </c>
    </row>
    <row r="6" spans="2:6" ht="15.75" x14ac:dyDescent="0.25">
      <c r="C6" s="4" t="s">
        <v>24</v>
      </c>
      <c r="D6" s="5" t="s">
        <v>36</v>
      </c>
      <c r="E6" s="20">
        <v>30</v>
      </c>
      <c r="F6" s="6">
        <v>56</v>
      </c>
    </row>
    <row r="7" spans="2:6" ht="15.75" x14ac:dyDescent="0.25">
      <c r="C7" s="4" t="s">
        <v>25</v>
      </c>
      <c r="D7" s="5" t="s">
        <v>37</v>
      </c>
      <c r="E7" s="20">
        <v>40</v>
      </c>
      <c r="F7" s="6">
        <v>76</v>
      </c>
    </row>
    <row r="8" spans="2:6" ht="15.75" x14ac:dyDescent="0.25">
      <c r="C8" s="4" t="s">
        <v>26</v>
      </c>
      <c r="D8" s="5" t="s">
        <v>38</v>
      </c>
      <c r="E8" s="20">
        <v>50</v>
      </c>
      <c r="F8" s="6">
        <v>12</v>
      </c>
    </row>
    <row r="9" spans="2:6" ht="15.75" x14ac:dyDescent="0.25">
      <c r="C9" s="4" t="s">
        <v>27</v>
      </c>
      <c r="D9" s="5" t="s">
        <v>39</v>
      </c>
      <c r="E9" s="20">
        <v>25</v>
      </c>
      <c r="F9" s="6">
        <v>32</v>
      </c>
    </row>
    <row r="10" spans="2:6" ht="15.75" x14ac:dyDescent="0.25">
      <c r="C10" s="4" t="s">
        <v>28</v>
      </c>
      <c r="D10" s="5" t="s">
        <v>40</v>
      </c>
      <c r="E10" s="20">
        <v>30</v>
      </c>
      <c r="F10" s="6">
        <v>54</v>
      </c>
    </row>
    <row r="11" spans="2:6" ht="15.75" x14ac:dyDescent="0.25">
      <c r="C11" s="4" t="s">
        <v>29</v>
      </c>
      <c r="D11" s="5" t="s">
        <v>41</v>
      </c>
      <c r="E11" s="20">
        <v>55</v>
      </c>
      <c r="F11" s="6">
        <v>65</v>
      </c>
    </row>
    <row r="13" spans="2:6" x14ac:dyDescent="0.25">
      <c r="B13" s="21" t="s">
        <v>63</v>
      </c>
      <c r="C13" s="7" t="s">
        <v>42</v>
      </c>
      <c r="D13" s="7" t="s">
        <v>33</v>
      </c>
      <c r="E13" s="7" t="s">
        <v>32</v>
      </c>
      <c r="F13" s="7" t="s">
        <v>43</v>
      </c>
    </row>
    <row r="14" spans="2:6" x14ac:dyDescent="0.25">
      <c r="B14" s="22">
        <f>VLOOKUP(C14,C4:F11,3,0)</f>
        <v>40</v>
      </c>
      <c r="C14" s="1" t="s">
        <v>25</v>
      </c>
      <c r="D14" s="8">
        <f>VLOOKUP(C14,C4:F11,4,FALSE)</f>
        <v>76</v>
      </c>
      <c r="E14" s="1">
        <v>54</v>
      </c>
      <c r="F14" s="8">
        <f>E14*D14</f>
        <v>4104</v>
      </c>
    </row>
    <row r="16" spans="2:6" x14ac:dyDescent="0.25">
      <c r="C16" s="47" t="s">
        <v>44</v>
      </c>
      <c r="D16" s="48"/>
      <c r="E16" s="48"/>
      <c r="F16" s="49"/>
    </row>
    <row r="17" spans="3:6" x14ac:dyDescent="0.25">
      <c r="C17" s="7" t="s">
        <v>42</v>
      </c>
      <c r="D17" s="7" t="s">
        <v>33</v>
      </c>
      <c r="E17" s="7" t="s">
        <v>32</v>
      </c>
      <c r="F17" s="7" t="s">
        <v>43</v>
      </c>
    </row>
    <row r="18" spans="3:6" x14ac:dyDescent="0.25">
      <c r="C18" s="1" t="s">
        <v>22</v>
      </c>
      <c r="D18" s="8">
        <f>VLOOKUP(C18,C4:F11,4,0)</f>
        <v>12</v>
      </c>
      <c r="E18" s="1">
        <v>35</v>
      </c>
      <c r="F18" s="8">
        <f>E18*D18</f>
        <v>420</v>
      </c>
    </row>
  </sheetData>
  <mergeCells count="1">
    <mergeCell ref="C16:F16"/>
  </mergeCells>
  <dataValidations count="1">
    <dataValidation type="list" allowBlank="1" showInputMessage="1" showErrorMessage="1" sqref="C18" xr:uid="{00000000-0002-0000-0100-000000000000}">
      <formula1>$C$4:$C$11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B1:H12"/>
  <sheetViews>
    <sheetView zoomScale="85" zoomScaleNormal="85" workbookViewId="0">
      <selection activeCell="F22" sqref="F22"/>
    </sheetView>
  </sheetViews>
  <sheetFormatPr defaultRowHeight="15" x14ac:dyDescent="0.25"/>
  <cols>
    <col min="2" max="2" width="23.5703125" bestFit="1" customWidth="1"/>
    <col min="4" max="4" width="12" customWidth="1"/>
    <col min="5" max="5" width="16.140625" customWidth="1"/>
    <col min="6" max="6" width="17.7109375" customWidth="1"/>
    <col min="7" max="7" width="19.85546875" customWidth="1"/>
    <col min="8" max="8" width="15.5703125" customWidth="1"/>
  </cols>
  <sheetData>
    <row r="1" spans="2:8" x14ac:dyDescent="0.25">
      <c r="C1" s="50" t="s">
        <v>62</v>
      </c>
      <c r="D1" s="50"/>
      <c r="E1" s="50"/>
      <c r="F1" s="50"/>
      <c r="G1" s="50"/>
    </row>
    <row r="3" spans="2:8" ht="18" customHeight="1" x14ac:dyDescent="0.25">
      <c r="B3" s="13" t="s">
        <v>61</v>
      </c>
      <c r="C3" s="14" t="s">
        <v>24</v>
      </c>
      <c r="D3" s="14" t="s">
        <v>60</v>
      </c>
      <c r="E3" s="14" t="s">
        <v>59</v>
      </c>
      <c r="F3" s="14" t="s">
        <v>58</v>
      </c>
      <c r="G3" s="14" t="s">
        <v>57</v>
      </c>
      <c r="H3" s="15" t="s">
        <v>56</v>
      </c>
    </row>
    <row r="4" spans="2:8" x14ac:dyDescent="0.25">
      <c r="B4" s="12">
        <v>43446</v>
      </c>
      <c r="C4" s="16">
        <v>0.4375</v>
      </c>
      <c r="D4" s="9">
        <v>1001</v>
      </c>
      <c r="E4" s="10" t="s">
        <v>47</v>
      </c>
      <c r="F4" s="9" t="s">
        <v>45</v>
      </c>
      <c r="G4" s="18">
        <v>10</v>
      </c>
      <c r="H4" s="11">
        <v>74.95</v>
      </c>
    </row>
    <row r="5" spans="2:8" x14ac:dyDescent="0.25">
      <c r="B5" s="12">
        <v>43229</v>
      </c>
      <c r="C5" s="17">
        <v>0.61805555555555558</v>
      </c>
      <c r="D5" s="9">
        <v>1009</v>
      </c>
      <c r="E5" s="10" t="s">
        <v>47</v>
      </c>
      <c r="F5" s="9" t="s">
        <v>54</v>
      </c>
      <c r="G5" s="19">
        <v>76</v>
      </c>
      <c r="H5" s="11">
        <v>2.95</v>
      </c>
    </row>
    <row r="6" spans="2:8" x14ac:dyDescent="0.25">
      <c r="B6" s="12">
        <v>43435</v>
      </c>
      <c r="C6" s="16">
        <v>0.43958333333333338</v>
      </c>
      <c r="D6" s="9">
        <v>1002</v>
      </c>
      <c r="E6" s="10" t="s">
        <v>48</v>
      </c>
      <c r="F6" s="9" t="s">
        <v>46</v>
      </c>
      <c r="G6" s="18">
        <v>10</v>
      </c>
      <c r="H6" s="11">
        <v>34.99</v>
      </c>
    </row>
    <row r="7" spans="2:8" x14ac:dyDescent="0.25">
      <c r="B7" s="12">
        <v>43228</v>
      </c>
      <c r="C7" s="17">
        <v>0.51388888888888895</v>
      </c>
      <c r="D7" s="9">
        <v>1008</v>
      </c>
      <c r="E7" s="10" t="s">
        <v>48</v>
      </c>
      <c r="F7" s="9" t="s">
        <v>53</v>
      </c>
      <c r="G7" s="19">
        <v>56</v>
      </c>
      <c r="H7" s="11">
        <v>55.95</v>
      </c>
    </row>
    <row r="8" spans="2:8" x14ac:dyDescent="0.25">
      <c r="B8" s="12">
        <v>43226</v>
      </c>
      <c r="C8" s="17">
        <v>0.39583333333333331</v>
      </c>
      <c r="D8" s="9">
        <v>1006</v>
      </c>
      <c r="E8" s="10" t="s">
        <v>52</v>
      </c>
      <c r="F8" s="9" t="s">
        <v>45</v>
      </c>
      <c r="G8" s="19">
        <v>43</v>
      </c>
      <c r="H8" s="11">
        <v>74.95</v>
      </c>
    </row>
    <row r="9" spans="2:8" x14ac:dyDescent="0.25">
      <c r="B9" s="12">
        <v>43382</v>
      </c>
      <c r="C9" s="16">
        <v>0.4548611111111111</v>
      </c>
      <c r="D9" s="9">
        <v>1004</v>
      </c>
      <c r="E9" s="10" t="s">
        <v>50</v>
      </c>
      <c r="F9" s="9" t="s">
        <v>54</v>
      </c>
      <c r="G9" s="18">
        <v>40</v>
      </c>
      <c r="H9" s="11">
        <v>2.95</v>
      </c>
    </row>
    <row r="10" spans="2:8" x14ac:dyDescent="0.25">
      <c r="B10" s="12">
        <v>43225</v>
      </c>
      <c r="C10" s="16">
        <v>0.48958333333333331</v>
      </c>
      <c r="D10" s="9">
        <v>1005</v>
      </c>
      <c r="E10" s="10" t="s">
        <v>51</v>
      </c>
      <c r="F10" s="9" t="s">
        <v>55</v>
      </c>
      <c r="G10" s="18">
        <v>21</v>
      </c>
      <c r="H10" s="11">
        <v>14.98</v>
      </c>
    </row>
    <row r="11" spans="2:8" x14ac:dyDescent="0.25">
      <c r="B11" s="12">
        <v>43227</v>
      </c>
      <c r="C11" s="17">
        <v>0.46527777777777773</v>
      </c>
      <c r="D11" s="9">
        <v>1007</v>
      </c>
      <c r="E11" s="10" t="s">
        <v>51</v>
      </c>
      <c r="F11" s="9" t="s">
        <v>46</v>
      </c>
      <c r="G11" s="19">
        <v>65</v>
      </c>
      <c r="H11" s="11">
        <v>34.99</v>
      </c>
    </row>
    <row r="12" spans="2:8" x14ac:dyDescent="0.25">
      <c r="B12" s="12">
        <v>43383</v>
      </c>
      <c r="C12" s="16">
        <v>0.44791666666666669</v>
      </c>
      <c r="D12" s="9">
        <v>1003</v>
      </c>
      <c r="E12" s="10" t="s">
        <v>49</v>
      </c>
      <c r="F12" s="9" t="s">
        <v>53</v>
      </c>
      <c r="G12" s="18">
        <v>50</v>
      </c>
      <c r="H12" s="11">
        <v>55.95</v>
      </c>
    </row>
  </sheetData>
  <autoFilter ref="B3:H12" xr:uid="{00000000-0009-0000-0000-000002000000}"/>
  <mergeCells count="1">
    <mergeCell ref="C1:G1"/>
  </mergeCells>
  <dataValidations count="1">
    <dataValidation type="list" errorStyle="warning" allowBlank="1" showInputMessage="1" showErrorMessage="1" errorTitle="Dikkat!" error="Bu sayılar Envanter sayfasındaki listeden alınmaktadır. Açılan listeye eklenmesi için İptal'i tıklatın, Envanter sayfasına gidin ve listeye ekleyin." sqref="E4:E8" xr:uid="{00000000-0002-0000-0200-000000000000}">
      <formula1>ÜN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D3:M23"/>
  <sheetViews>
    <sheetView zoomScale="85" zoomScaleNormal="85" workbookViewId="0">
      <selection activeCell="D6" sqref="D6"/>
    </sheetView>
  </sheetViews>
  <sheetFormatPr defaultRowHeight="15" x14ac:dyDescent="0.25"/>
  <cols>
    <col min="4" max="4" width="19" customWidth="1"/>
    <col min="5" max="5" width="16.28515625" customWidth="1"/>
    <col min="6" max="6" width="24.28515625" customWidth="1"/>
    <col min="7" max="7" width="19.7109375" customWidth="1"/>
    <col min="8" max="8" width="19.5703125" customWidth="1"/>
    <col min="9" max="9" width="14.7109375" customWidth="1"/>
    <col min="13" max="13" width="12.42578125" customWidth="1"/>
  </cols>
  <sheetData>
    <row r="3" spans="4:13" x14ac:dyDescent="0.25">
      <c r="D3" s="23" t="s">
        <v>75</v>
      </c>
      <c r="E3" s="23" t="s">
        <v>70</v>
      </c>
      <c r="F3" s="23" t="s">
        <v>71</v>
      </c>
      <c r="G3" s="23" t="s">
        <v>72</v>
      </c>
      <c r="H3" s="23" t="s">
        <v>73</v>
      </c>
      <c r="I3" s="23" t="s">
        <v>74</v>
      </c>
      <c r="L3" s="51" t="s">
        <v>97</v>
      </c>
      <c r="M3" s="51"/>
    </row>
    <row r="4" spans="4:13" x14ac:dyDescent="0.25">
      <c r="D4" s="1" t="s">
        <v>64</v>
      </c>
      <c r="E4" s="1" t="str">
        <f>TRIM(D4)</f>
        <v>Levent ÇALLI</v>
      </c>
      <c r="F4" s="1" t="str">
        <f>PROPER(D4)</f>
        <v xml:space="preserve">     Levent Çallı</v>
      </c>
      <c r="G4" s="1" t="str">
        <f>UPPER(D4)</f>
        <v xml:space="preserve">     LEVENT ÇALLI</v>
      </c>
      <c r="H4" s="1" t="str">
        <f>LOWER(D4)</f>
        <v xml:space="preserve">     levent çallı</v>
      </c>
      <c r="I4" s="1">
        <f>LEN(E4)</f>
        <v>12</v>
      </c>
      <c r="L4" s="1" t="s">
        <v>85</v>
      </c>
      <c r="M4" s="1" t="s">
        <v>86</v>
      </c>
    </row>
    <row r="5" spans="4:13" x14ac:dyDescent="0.25">
      <c r="D5" s="1" t="s">
        <v>65</v>
      </c>
      <c r="E5" s="1" t="str">
        <f t="shared" ref="E5:E9" si="0">TRIM(D5)</f>
        <v>Mustafa YILMAZ</v>
      </c>
      <c r="F5" s="1" t="str">
        <f t="shared" ref="F5:F9" si="1">PROPER(D5)</f>
        <v xml:space="preserve">    Mustafa Yılmaz</v>
      </c>
      <c r="G5" s="1" t="str">
        <f t="shared" ref="G5:G9" si="2">UPPER(D5)</f>
        <v xml:space="preserve">    MUSTAFA YILMAZ</v>
      </c>
      <c r="H5" s="1" t="str">
        <f t="shared" ref="H5:H9" si="3">LOWER(D5)</f>
        <v xml:space="preserve">    mustafa yılmaz</v>
      </c>
      <c r="I5" s="1">
        <f t="shared" ref="I5:I9" si="4">LEN(D5)</f>
        <v>18</v>
      </c>
      <c r="L5" s="1" t="s">
        <v>87</v>
      </c>
      <c r="M5" s="1" t="s">
        <v>88</v>
      </c>
    </row>
    <row r="6" spans="4:13" x14ac:dyDescent="0.25">
      <c r="D6" s="1" t="s">
        <v>66</v>
      </c>
      <c r="E6" s="1" t="str">
        <f t="shared" si="0"/>
        <v>Numan SEYMEN</v>
      </c>
      <c r="F6" s="1" t="str">
        <f t="shared" si="1"/>
        <v xml:space="preserve">        Numan Seymen</v>
      </c>
      <c r="G6" s="1" t="str">
        <f t="shared" si="2"/>
        <v xml:space="preserve">        NUMAN SEYMEN</v>
      </c>
      <c r="H6" s="1" t="str">
        <f t="shared" si="3"/>
        <v xml:space="preserve">        numan seymen</v>
      </c>
      <c r="I6" s="1">
        <f t="shared" si="4"/>
        <v>20</v>
      </c>
      <c r="L6" s="1" t="s">
        <v>89</v>
      </c>
      <c r="M6" s="1" t="s">
        <v>90</v>
      </c>
    </row>
    <row r="7" spans="4:13" x14ac:dyDescent="0.25">
      <c r="D7" s="1" t="s">
        <v>67</v>
      </c>
      <c r="E7" s="1" t="str">
        <f t="shared" si="0"/>
        <v>İhsan SELVİ</v>
      </c>
      <c r="F7" s="1" t="str">
        <f t="shared" si="1"/>
        <v xml:space="preserve"> İhsan Selvi</v>
      </c>
      <c r="G7" s="1" t="str">
        <f t="shared" si="2"/>
        <v xml:space="preserve"> İHSAN SELVİ</v>
      </c>
      <c r="H7" s="1" t="str">
        <f t="shared" si="3"/>
        <v xml:space="preserve"> ihsan selvi</v>
      </c>
      <c r="I7" s="1">
        <f t="shared" si="4"/>
        <v>12</v>
      </c>
      <c r="L7" s="1" t="s">
        <v>91</v>
      </c>
      <c r="M7" s="1" t="s">
        <v>92</v>
      </c>
    </row>
    <row r="8" spans="4:13" x14ac:dyDescent="0.25">
      <c r="D8" s="1" t="s">
        <v>68</v>
      </c>
      <c r="E8" s="1" t="str">
        <f t="shared" si="0"/>
        <v>YAŞAR RIZA</v>
      </c>
      <c r="F8" s="1" t="str">
        <f t="shared" si="1"/>
        <v xml:space="preserve">      Yaşar Rıza</v>
      </c>
      <c r="G8" s="1" t="str">
        <f t="shared" si="2"/>
        <v xml:space="preserve">      YAŞAR RIZA</v>
      </c>
      <c r="H8" s="1" t="str">
        <f t="shared" si="3"/>
        <v xml:space="preserve">      yaşar rıza</v>
      </c>
      <c r="I8" s="1">
        <f t="shared" si="4"/>
        <v>16</v>
      </c>
      <c r="L8" s="1" t="s">
        <v>93</v>
      </c>
      <c r="M8" s="1" t="s">
        <v>94</v>
      </c>
    </row>
    <row r="9" spans="4:13" x14ac:dyDescent="0.25">
      <c r="D9" s="1" t="s">
        <v>69</v>
      </c>
      <c r="E9" s="1" t="str">
        <f t="shared" si="0"/>
        <v>OYA ŞANLI</v>
      </c>
      <c r="F9" s="1" t="str">
        <f t="shared" si="1"/>
        <v xml:space="preserve"> Oya Şanlı</v>
      </c>
      <c r="G9" s="1" t="str">
        <f t="shared" si="2"/>
        <v xml:space="preserve"> OYA ŞANLI</v>
      </c>
      <c r="H9" s="1" t="str">
        <f t="shared" si="3"/>
        <v xml:space="preserve"> oya şanlı</v>
      </c>
      <c r="I9" s="1">
        <f t="shared" si="4"/>
        <v>10</v>
      </c>
      <c r="L9" s="1" t="s">
        <v>95</v>
      </c>
      <c r="M9" s="1" t="s">
        <v>96</v>
      </c>
    </row>
    <row r="16" spans="4:13" x14ac:dyDescent="0.25">
      <c r="D16" s="24" t="s">
        <v>79</v>
      </c>
      <c r="E16" s="24" t="s">
        <v>80</v>
      </c>
      <c r="F16" s="24" t="s">
        <v>81</v>
      </c>
    </row>
    <row r="18" spans="5:6" x14ac:dyDescent="0.25">
      <c r="E18" s="25" t="s">
        <v>76</v>
      </c>
      <c r="F18" s="1" t="str">
        <f>LEFT(D16,3)</f>
        <v>Mer</v>
      </c>
    </row>
    <row r="19" spans="5:6" x14ac:dyDescent="0.25">
      <c r="E19" s="25" t="s">
        <v>77</v>
      </c>
      <c r="F19" s="1" t="str">
        <f>RIGHT(F16,4)</f>
        <v>veni</v>
      </c>
    </row>
    <row r="20" spans="5:6" x14ac:dyDescent="0.25">
      <c r="E20" s="25" t="s">
        <v>82</v>
      </c>
      <c r="F20" s="1" t="str">
        <f>MID(D16,2,4)</f>
        <v>erye</v>
      </c>
    </row>
    <row r="21" spans="5:6" x14ac:dyDescent="0.25">
      <c r="E21" s="25" t="s">
        <v>78</v>
      </c>
      <c r="F21" s="1" t="str">
        <f>CONCATENATE(D16,E16,F16)</f>
        <v>MeryemAnaEldiveni</v>
      </c>
    </row>
    <row r="22" spans="5:6" x14ac:dyDescent="0.25">
      <c r="E22" s="26"/>
      <c r="F22" s="27"/>
    </row>
    <row r="23" spans="5:6" x14ac:dyDescent="0.25">
      <c r="E23" s="26"/>
      <c r="F23" s="27"/>
    </row>
  </sheetData>
  <autoFilter ref="L4:M9" xr:uid="{00000000-0009-0000-0000-000003000000}"/>
  <dataConsolidate/>
  <mergeCells count="1">
    <mergeCell ref="L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Vlookup</vt:lpstr>
      <vt:lpstr>Filtreleme ve Adet Yazma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2021-12-27T08:37:35Z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