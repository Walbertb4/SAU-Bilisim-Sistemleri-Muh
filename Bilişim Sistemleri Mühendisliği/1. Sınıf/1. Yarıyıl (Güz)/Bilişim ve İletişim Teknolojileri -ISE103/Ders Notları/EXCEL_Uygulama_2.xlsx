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 codeName="BuÇalışmaKitabı"/>
  <xr:revisionPtr revIDLastSave="0" documentId="13_ncr:1_{E26AB0E5-10FB-4578-B8DF-4681E8511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ka Örneği (KAÇINCI)" sheetId="6" r:id="rId1"/>
    <sheet name="Plaka İndis" sheetId="10" r:id="rId2"/>
    <sheet name="İndis Giriş" sheetId="7" r:id="rId3"/>
    <sheet name="Personel Örneği" sheetId="8" r:id="rId4"/>
    <sheet name="Satış Temsilcisi" sheetId="9" r:id="rId5"/>
    <sheet name="Komisyon Örneği" sheetId="2" r:id="rId6"/>
    <sheet name="Komisyon Örneği (2)" sheetId="12" r:id="rId7"/>
    <sheet name="Şehir - İlçe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3" l="1"/>
  <c r="B16" i="13"/>
  <c r="B15" i="13"/>
  <c r="B14" i="13"/>
  <c r="B10" i="13"/>
  <c r="B7" i="13"/>
  <c r="B6" i="13"/>
  <c r="C2" i="12" l="1"/>
  <c r="C3" i="12"/>
  <c r="C4" i="12"/>
  <c r="C5" i="12"/>
  <c r="C6" i="12"/>
  <c r="C7" i="12"/>
  <c r="C8" i="12"/>
  <c r="C9" i="12"/>
  <c r="C10" i="12"/>
  <c r="C11" i="12"/>
  <c r="M5" i="12"/>
  <c r="E6" i="10"/>
  <c r="E3" i="10"/>
  <c r="Q7" i="8" l="1"/>
  <c r="G2" i="6"/>
  <c r="E3" i="6" s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5" i="9"/>
  <c r="Q6" i="8"/>
  <c r="Q13" i="8"/>
  <c r="Q12" i="8"/>
  <c r="Q11" i="8"/>
  <c r="Q10" i="8"/>
  <c r="Q9" i="8"/>
  <c r="Q8" i="8"/>
  <c r="N13" i="8"/>
  <c r="N12" i="8"/>
  <c r="N11" i="8"/>
  <c r="N10" i="8"/>
  <c r="N9" i="8"/>
  <c r="N8" i="8"/>
  <c r="N7" i="8"/>
  <c r="N5" i="2"/>
  <c r="O5" i="7"/>
  <c r="O12" i="7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J6" i="9" l="1"/>
  <c r="I6" i="9"/>
  <c r="I7" i="9"/>
  <c r="I8" i="9"/>
  <c r="J5" i="9"/>
  <c r="J9" i="9"/>
  <c r="J8" i="9"/>
  <c r="I5" i="9"/>
  <c r="J7" i="9"/>
  <c r="I9" i="9"/>
</calcChain>
</file>

<file path=xl/sharedStrings.xml><?xml version="1.0" encoding="utf-8"?>
<sst xmlns="http://schemas.openxmlformats.org/spreadsheetml/2006/main" count="411" uniqueCount="215">
  <si>
    <t>Komisyonlar</t>
  </si>
  <si>
    <t>A</t>
  </si>
  <si>
    <t>B</t>
  </si>
  <si>
    <t>C</t>
  </si>
  <si>
    <t>D</t>
  </si>
  <si>
    <t>Ahmet</t>
  </si>
  <si>
    <t>Mehmet</t>
  </si>
  <si>
    <t>Hüseyin</t>
  </si>
  <si>
    <t>Ürünler</t>
  </si>
  <si>
    <t>Satış Miktarı</t>
  </si>
  <si>
    <t>Komisyon</t>
  </si>
  <si>
    <t>Doğru Oranlar</t>
  </si>
  <si>
    <t>Ürün</t>
  </si>
  <si>
    <t>Adana</t>
  </si>
  <si>
    <t>Adıyaman</t>
  </si>
  <si>
    <t>Afyon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</si>
  <si>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</si>
  <si>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</si>
  <si>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</si>
  <si>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</si>
  <si>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</si>
  <si>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</si>
  <si>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</si>
  <si>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</si>
  <si>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</si>
  <si>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</si>
  <si>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</si>
  <si>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</si>
  <si>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</si>
  <si>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</si>
  <si>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</si>
  <si>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</si>
  <si>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</si>
  <si>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</si>
  <si>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</si>
  <si>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</si>
  <si>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</si>
  <si>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</si>
  <si>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</si>
  <si>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</si>
  <si>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</si>
  <si>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</si>
  <si>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</si>
  <si>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</si>
  <si>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</si>
  <si>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İçel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</si>
  <si>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</si>
  <si>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</si>
  <si>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</si>
  <si>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</si>
  <si>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</si>
  <si>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</si>
  <si>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</si>
  <si>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</si>
  <si>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</si>
  <si>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</si>
  <si>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</si>
  <si>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</si>
  <si>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K. 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</si>
  <si>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</si>
  <si>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</si>
  <si>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</si>
  <si>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</si>
  <si>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</si>
  <si>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</si>
  <si>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</si>
  <si>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</si>
  <si>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</si>
  <si>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</si>
  <si>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</si>
  <si>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</si>
  <si>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</si>
  <si>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</si>
  <si>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</si>
  <si>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</si>
  <si>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</si>
  <si>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</si>
  <si>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</si>
  <si>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</si>
  <si>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</si>
  <si>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</si>
  <si>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</si>
  <si>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</si>
  <si>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</si>
  <si>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</si>
  <si>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</si>
  <si>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</si>
  <si>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</si>
  <si>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</si>
  <si>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</si>
  <si>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</si>
  <si>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</si>
  <si>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</si>
  <si>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</si>
  <si>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İl</t>
  </si>
  <si>
    <t>İller</t>
  </si>
  <si>
    <t>Plaka Kodu</t>
  </si>
  <si>
    <t>Kaçıncı Sırada</t>
  </si>
  <si>
    <t>No</t>
  </si>
  <si>
    <t>Adı</t>
  </si>
  <si>
    <t>Soyadı</t>
  </si>
  <si>
    <t>Yaş</t>
  </si>
  <si>
    <t>Boy</t>
  </si>
  <si>
    <t>Kilo</t>
  </si>
  <si>
    <t>Cinsiyet</t>
  </si>
  <si>
    <t>Saç Rengi</t>
  </si>
  <si>
    <t>Ali</t>
  </si>
  <si>
    <t>Avni</t>
  </si>
  <si>
    <t>Hatice</t>
  </si>
  <si>
    <t>Oya</t>
  </si>
  <si>
    <t>Selman</t>
  </si>
  <si>
    <t>Şeyma</t>
  </si>
  <si>
    <t>Zeynep</t>
  </si>
  <si>
    <t>Merve</t>
  </si>
  <si>
    <t>Ömer</t>
  </si>
  <si>
    <t>Numan</t>
  </si>
  <si>
    <t>İsmail</t>
  </si>
  <si>
    <t>Tuğrul</t>
  </si>
  <si>
    <t>Fatih</t>
  </si>
  <si>
    <t>Levent</t>
  </si>
  <si>
    <t>Rıza</t>
  </si>
  <si>
    <t>Seda</t>
  </si>
  <si>
    <t>Zeki</t>
  </si>
  <si>
    <t>YILMAZ</t>
  </si>
  <si>
    <t>TAŞÇI</t>
  </si>
  <si>
    <t>ÇELEBİ</t>
  </si>
  <si>
    <t>TAŞBAŞI</t>
  </si>
  <si>
    <t>ÇELİK</t>
  </si>
  <si>
    <t>DEMİR</t>
  </si>
  <si>
    <t>AKGÜN</t>
  </si>
  <si>
    <t>TEVER</t>
  </si>
  <si>
    <t>GÜNGÖREN</t>
  </si>
  <si>
    <t>TUNÇ</t>
  </si>
  <si>
    <t>SAYGILI</t>
  </si>
  <si>
    <t>TÜRKÜM</t>
  </si>
  <si>
    <t>ESENGÜL</t>
  </si>
  <si>
    <t>ÖREN</t>
  </si>
  <si>
    <t>KAZANCI</t>
  </si>
  <si>
    <t>AKIN</t>
  </si>
  <si>
    <t>YAYLI</t>
  </si>
  <si>
    <t>TAŞPINAR</t>
  </si>
  <si>
    <t>TAŞKIN</t>
  </si>
  <si>
    <t>KAHVECİ</t>
  </si>
  <si>
    <t>Erkek</t>
  </si>
  <si>
    <t>Kadın</t>
  </si>
  <si>
    <t>Siyah</t>
  </si>
  <si>
    <t>Sarı</t>
  </si>
  <si>
    <t>Sütun Sayısı</t>
  </si>
  <si>
    <t>Satır Sayısı</t>
  </si>
  <si>
    <t xml:space="preserve"> =indis()</t>
  </si>
  <si>
    <t>Sicil No</t>
  </si>
  <si>
    <t>İNDİS()</t>
  </si>
  <si>
    <t>DÜŞEYARA()</t>
  </si>
  <si>
    <t>Satış Temsilcisi</t>
  </si>
  <si>
    <t>Satışlar</t>
  </si>
  <si>
    <t>Hüseyin ÇELEBİ</t>
  </si>
  <si>
    <t>Ali TAŞBAŞI</t>
  </si>
  <si>
    <t>Avni ÇELİK</t>
  </si>
  <si>
    <t>Hatice DEMİR</t>
  </si>
  <si>
    <t>Oya AKGÜN</t>
  </si>
  <si>
    <t>Selman TEVER</t>
  </si>
  <si>
    <t>Şeyma GÜNGÖREN</t>
  </si>
  <si>
    <t>Zeynep TUNÇ</t>
  </si>
  <si>
    <t>Merve SAYGILI</t>
  </si>
  <si>
    <t>Ömer TÜRKÜM</t>
  </si>
  <si>
    <t>Numan ESENGÜL</t>
  </si>
  <si>
    <t>İsmail ÖREN</t>
  </si>
  <si>
    <t>Tuğrul KAZANCI</t>
  </si>
  <si>
    <t>Fatih AKIN</t>
  </si>
  <si>
    <t>Levent YAYLI</t>
  </si>
  <si>
    <t>Rıza TAŞPINAR</t>
  </si>
  <si>
    <t>Seda TAŞKIN</t>
  </si>
  <si>
    <t>Zeki KAHVECİ</t>
  </si>
  <si>
    <t>Sıralama</t>
  </si>
  <si>
    <t>Sıra</t>
  </si>
  <si>
    <t>Temsilci Adı</t>
  </si>
  <si>
    <t>Satış Rakamı</t>
  </si>
  <si>
    <t xml:space="preserve"> =İNDİS($C$5:$C$23;KAÇINCI(H5;$D$5:$D$23;0))</t>
  </si>
  <si>
    <t>FORMÜL</t>
  </si>
  <si>
    <t>Sütun 1</t>
  </si>
  <si>
    <t>Sütun 2</t>
  </si>
  <si>
    <t>Sütun 3</t>
  </si>
  <si>
    <t>Sütun 4</t>
  </si>
  <si>
    <t>Sütun 5</t>
  </si>
  <si>
    <t>Sütun 6</t>
  </si>
  <si>
    <t>Sütun 7</t>
  </si>
  <si>
    <t>Sütun 8</t>
  </si>
  <si>
    <t>Satır 1</t>
  </si>
  <si>
    <t>Satır 2</t>
  </si>
  <si>
    <t>Satır 3</t>
  </si>
  <si>
    <t>Satır 4</t>
  </si>
  <si>
    <t>Satır 5</t>
  </si>
  <si>
    <t>Satır 6</t>
  </si>
  <si>
    <t>Satır 7</t>
  </si>
  <si>
    <t>Satır 8</t>
  </si>
  <si>
    <t>Satır 9</t>
  </si>
  <si>
    <t>Satır 10</t>
  </si>
  <si>
    <t>Satır 11</t>
  </si>
  <si>
    <t>Satır 12</t>
  </si>
  <si>
    <t>Satır 13</t>
  </si>
  <si>
    <t>Satır 14</t>
  </si>
  <si>
    <t>Satır 15</t>
  </si>
  <si>
    <t>Satır 16</t>
  </si>
  <si>
    <t>Satır 17</t>
  </si>
  <si>
    <t>Satır 18</t>
  </si>
  <si>
    <t>Satır 19</t>
  </si>
  <si>
    <t>Satır 20</t>
  </si>
  <si>
    <t>Satış Fiyatı</t>
  </si>
  <si>
    <t>Komisyon Oranı</t>
  </si>
  <si>
    <t>İlçe</t>
  </si>
  <si>
    <t>Nüfus</t>
  </si>
  <si>
    <t>Ceyhan</t>
  </si>
  <si>
    <t>Osmangazi</t>
  </si>
  <si>
    <t>Alanya</t>
  </si>
  <si>
    <t>En yüksek 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</si>
</sst>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&quot;Kg&quot;"/>
    <numFmt numFmtId="165" formatCode="#\ &quot;cm&quot;"/>
    <numFmt numFmtId="166" formatCode="_-[$₺-41F]* #,##0_-;\-[$₺-41F]* #,##0_-;_-[$₺-41F]* &quot;-&quot;??_-;_-@_-"/>
    <numFmt numFmtId="167" formatCode="#,##0\ &quot;₺&quot;"/>
    <numFmt numFmtId="168" formatCode="_-* #,##0\ [$₺-41F]_-;\-* #,##0\ [$₺-41F]_-;_-* &quot;-&quot;??\ [$₺-41F]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color rgb="FF4C4C4C"/>
      <name val="İnherit"/>
    </font>
    <font>
      <b/>
      <sz val="11"/>
      <color rgb="FF4C4C4C"/>
      <name val="İnherit"/>
      <charset val="162"/>
    </font>
    <font>
      <b/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10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4" xfId="0" applyBorder="1"/>
    <xf numFmtId="0" fontId="0" fillId="7" borderId="2" xfId="0" applyFill="1" applyBorder="1"/>
    <xf numFmtId="166" fontId="0" fillId="0" borderId="1" xfId="0" applyNumberFormat="1" applyBorder="1"/>
    <xf numFmtId="167" fontId="0" fillId="0" borderId="1" xfId="0" applyNumberFormat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4" fillId="0" borderId="8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3" fillId="0" borderId="0" xfId="0" applyFont="1"/>
    <xf numFmtId="9" fontId="0" fillId="0" borderId="1" xfId="1" applyFont="1" applyBorder="1" applyAlignment="1">
      <alignment horizontal="center"/>
    </xf>
    <xf numFmtId="0" fontId="13" fillId="9" borderId="1" xfId="0" applyFont="1" applyFill="1" applyBorder="1"/>
    <xf numFmtId="0" fontId="12" fillId="0" borderId="1" xfId="0" applyFont="1" applyBorder="1" applyAlignment="1">
      <alignment horizontal="center"/>
    </xf>
    <xf numFmtId="0" fontId="12" fillId="6" borderId="1" xfId="0" applyFont="1" applyFill="1" applyBorder="1"/>
    <xf numFmtId="0" fontId="2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5" fillId="11" borderId="15" xfId="0" applyFont="1" applyFill="1" applyBorder="1" applyAlignment="1">
      <alignment horizontal="left" vertical="center" wrapText="1" indent="1"/>
    </xf>
    <xf numFmtId="0" fontId="14" fillId="10" borderId="15" xfId="0" applyFont="1" applyFill="1" applyBorder="1" applyAlignment="1">
      <alignment vertical="top" wrapText="1"/>
    </xf>
    <xf numFmtId="0" fontId="14" fillId="11" borderId="15" xfId="0" applyFont="1" applyFill="1" applyBorder="1" applyAlignment="1">
      <alignment vertical="top" wrapText="1"/>
    </xf>
    <xf numFmtId="0" fontId="14" fillId="10" borderId="15" xfId="0" applyFont="1" applyFill="1" applyBorder="1" applyAlignment="1">
      <alignment horizontal="center" vertical="top" wrapText="1"/>
    </xf>
    <xf numFmtId="0" fontId="14" fillId="11" borderId="15" xfId="0" applyFont="1" applyFill="1" applyBorder="1" applyAlignment="1">
      <alignment horizontal="center" vertical="top" wrapText="1"/>
    </xf>
    <xf numFmtId="0" fontId="2" fillId="0" borderId="0" xfId="0" applyFont="1"/>
    <xf numFmtId="0" fontId="16" fillId="0" borderId="0" xfId="0" applyFont="1" applyAlignment="1">
      <alignment horizontal="justify" vertical="center"/>
    </xf>
    <xf numFmtId="0" fontId="0" fillId="8" borderId="1" xfId="0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List" dx="22" fmlaLink="$N$6" fmlaRange="$C$4:$C$23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5</xdr:row>
          <xdr:rowOff>0</xdr:rowOff>
        </xdr:from>
        <xdr:to>
          <xdr:col>19</xdr:col>
          <xdr:colOff>7620</xdr:colOff>
          <xdr:row>14</xdr:row>
          <xdr:rowOff>38100</xdr:rowOff>
        </xdr:to>
        <xdr:sp macro="" textlink="">
          <xdr:nvSpPr>
            <xdr:cNvPr id="8205" name="List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3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G83"/>
  <sheetViews>
    <sheetView tabSelected="1" zoomScale="55" zoomScaleNormal="55" workbookViewId="0">
      <selection activeCell="J35" sqref="J35"/>
    </sheetView>
  </sheetViews>
  <sheetFormatPr defaultRowHeight="14.4"/>
  <cols>
    <col min="1" max="1" width="12.44140625" customWidth="1"/>
    <col min="2" max="2" width="13.109375" bestFit="1" customWidth="1"/>
    <col min="4" max="4" width="11.6640625" customWidth="1"/>
    <col min="5" max="5" width="12.6640625" bestFit="1" customWidth="1"/>
    <col min="6" max="6" width="14.44140625" customWidth="1"/>
    <col min="7" max="7" width="8.109375" customWidth="1"/>
    <col min="8" max="8" width="3.6640625" customWidth="1"/>
    <col min="9" max="9" width="13.44140625" customWidth="1"/>
  </cols>
  <sheetData>
    <row r="1" spans="1:7" ht="15" thickBot="1"/>
    <row r="2" spans="1:7" ht="16.8" thickBot="1">
      <c r="A2" s="23" t="s">
        <v>95</v>
      </c>
      <c r="B2" s="24" t="s">
        <v>96</v>
      </c>
      <c r="D2" s="39" t="s">
        <v>96</v>
      </c>
      <c r="E2" s="40">
        <v>15</v>
      </c>
      <c r="F2" s="41" t="s">
        <v>97</v>
      </c>
      <c r="G2" s="42">
        <f>MATCH(E2,B:B,0)</f>
        <v>17</v>
      </c>
    </row>
    <row r="3" spans="1:7" ht="16.2" thickBot="1">
      <c r="A3" s="22" t="s">
        <v>13</v>
      </c>
      <c r="B3" s="20">
        <v>1</v>
      </c>
      <c r="D3" s="39" t="s">
        <v>94</v>
      </c>
      <c r="E3" s="43" t="str">
        <f>INDEX(A:A,G2,B:B)</f>
        <v>Burdur</v>
      </c>
      <c r="F3" s="44"/>
      <c r="G3" s="44"/>
    </row>
    <row r="4" spans="1:7" ht="15.6">
      <c r="A4" s="22" t="s">
        <v>14</v>
      </c>
      <c r="B4" s="21">
        <v>2</v>
      </c>
    </row>
    <row r="5" spans="1:7" ht="15.6">
      <c r="A5" s="22" t="s">
        <v>15</v>
      </c>
      <c r="B5" s="21">
        <v>3</v>
      </c>
    </row>
    <row r="6" spans="1:7" ht="15.6">
      <c r="A6" s="22" t="s">
        <v>16</v>
      </c>
      <c r="B6" s="21">
        <v>4</v>
      </c>
    </row>
    <row r="7" spans="1:7" ht="15.6">
      <c r="A7" s="22" t="s">
        <v>17</v>
      </c>
      <c r="B7" s="21">
        <v>5</v>
      </c>
    </row>
    <row r="8" spans="1:7" ht="15.6">
      <c r="A8" s="22" t="s">
        <v>18</v>
      </c>
      <c r="B8" s="21">
        <v>6</v>
      </c>
    </row>
    <row r="9" spans="1:7" ht="15.6">
      <c r="A9" s="22" t="s">
        <v>19</v>
      </c>
      <c r="B9" s="21">
        <v>7</v>
      </c>
    </row>
    <row r="10" spans="1:7" ht="15.6">
      <c r="A10" s="22" t="s">
        <v>20</v>
      </c>
      <c r="B10" s="21">
        <v>8</v>
      </c>
    </row>
    <row r="11" spans="1:7" ht="15.6">
      <c r="A11" s="22" t="s">
        <v>21</v>
      </c>
      <c r="B11" s="21">
        <v>9</v>
      </c>
    </row>
    <row r="12" spans="1:7" ht="15.6">
      <c r="A12" s="22" t="s">
        <v>22</v>
      </c>
      <c r="B12" s="21">
        <v>10</v>
      </c>
    </row>
    <row r="13" spans="1:7" ht="15.6">
      <c r="A13" s="22" t="s">
        <v>23</v>
      </c>
      <c r="B13" s="21">
        <v>11</v>
      </c>
    </row>
    <row r="14" spans="1:7" ht="15.6">
      <c r="A14" s="22" t="s">
        <v>24</v>
      </c>
      <c r="B14" s="21">
        <v>12</v>
      </c>
    </row>
    <row r="15" spans="1:7" ht="15.6">
      <c r="A15" s="22" t="s">
        <v>25</v>
      </c>
      <c r="B15" s="21">
        <v>13</v>
      </c>
    </row>
    <row r="16" spans="1:7" ht="15.6">
      <c r="A16" s="22" t="s">
        <v>26</v>
      </c>
      <c r="B16" s="21">
        <v>14</v>
      </c>
    </row>
    <row r="17" spans="1:2" ht="15.6">
      <c r="A17" s="22" t="s">
        <v>27</v>
      </c>
      <c r="B17" s="21">
        <v>15</v>
      </c>
    </row>
    <row r="18" spans="1:2" ht="15.6">
      <c r="A18" s="22" t="s">
        <v>28</v>
      </c>
      <c r="B18" s="21">
        <v>16</v>
      </c>
    </row>
    <row r="19" spans="1:2" ht="15.6">
      <c r="A19" s="22" t="s">
        <v>29</v>
      </c>
      <c r="B19" s="21">
        <v>17</v>
      </c>
    </row>
    <row r="20" spans="1:2" ht="15.6">
      <c r="A20" s="22" t="s">
        <v>30</v>
      </c>
      <c r="B20" s="21">
        <v>18</v>
      </c>
    </row>
    <row r="21" spans="1:2" ht="15.6">
      <c r="A21" s="22" t="s">
        <v>31</v>
      </c>
      <c r="B21" s="21">
        <v>19</v>
      </c>
    </row>
    <row r="22" spans="1:2" ht="15.6">
      <c r="A22" s="22" t="s">
        <v>32</v>
      </c>
      <c r="B22" s="21">
        <v>20</v>
      </c>
    </row>
    <row r="23" spans="1:2" ht="15.6">
      <c r="A23" s="22" t="s">
        <v>33</v>
      </c>
      <c r="B23" s="21">
        <v>21</v>
      </c>
    </row>
    <row r="24" spans="1:2" ht="15.6">
      <c r="A24" s="22" t="s">
        <v>34</v>
      </c>
      <c r="B24" s="21">
        <v>22</v>
      </c>
    </row>
    <row r="25" spans="1:2" ht="15.6">
      <c r="A25" s="22" t="s">
        <v>35</v>
      </c>
      <c r="B25" s="21">
        <v>23</v>
      </c>
    </row>
    <row r="26" spans="1:2" ht="15.6">
      <c r="A26" s="22" t="s">
        <v>36</v>
      </c>
      <c r="B26" s="21">
        <v>24</v>
      </c>
    </row>
    <row r="27" spans="1:2" ht="15.6">
      <c r="A27" s="22" t="s">
        <v>37</v>
      </c>
      <c r="B27" s="21">
        <v>25</v>
      </c>
    </row>
    <row r="28" spans="1:2" ht="15.6">
      <c r="A28" s="22" t="s">
        <v>38</v>
      </c>
      <c r="B28" s="21">
        <v>26</v>
      </c>
    </row>
    <row r="29" spans="1:2" ht="15.6">
      <c r="A29" s="22" t="s">
        <v>39</v>
      </c>
      <c r="B29" s="21">
        <v>27</v>
      </c>
    </row>
    <row r="30" spans="1:2" ht="15.6">
      <c r="A30" s="22" t="s">
        <v>40</v>
      </c>
      <c r="B30" s="21">
        <v>28</v>
      </c>
    </row>
    <row r="31" spans="1:2" ht="31.2">
      <c r="A31" s="22" t="s">
        <v>41</v>
      </c>
      <c r="B31" s="21">
        <v>29</v>
      </c>
    </row>
    <row r="32" spans="1:2" ht="15.6">
      <c r="A32" s="22" t="s">
        <v>42</v>
      </c>
      <c r="B32" s="21">
        <v>30</v>
      </c>
    </row>
    <row r="33" spans="1:2" ht="15.6">
      <c r="A33" s="22" t="s">
        <v>43</v>
      </c>
      <c r="B33" s="21">
        <v>31</v>
      </c>
    </row>
    <row r="34" spans="1:2" ht="15.6">
      <c r="A34" s="22" t="s">
        <v>44</v>
      </c>
      <c r="B34" s="21">
        <v>32</v>
      </c>
    </row>
    <row r="35" spans="1:2" ht="15.6">
      <c r="A35" s="22" t="s">
        <v>45</v>
      </c>
      <c r="B35" s="21">
        <v>33</v>
      </c>
    </row>
    <row r="36" spans="1:2" ht="15.6">
      <c r="A36" s="22" t="s">
        <v>46</v>
      </c>
      <c r="B36" s="21">
        <v>34</v>
      </c>
    </row>
    <row r="37" spans="1:2" ht="15.6">
      <c r="A37" s="22" t="s">
        <v>47</v>
      </c>
      <c r="B37" s="21">
        <v>35</v>
      </c>
    </row>
    <row r="38" spans="1:2" ht="15.6">
      <c r="A38" s="22" t="s">
        <v>48</v>
      </c>
      <c r="B38" s="21">
        <v>36</v>
      </c>
    </row>
    <row r="39" spans="1:2" ht="15.6">
      <c r="A39" s="22" t="s">
        <v>49</v>
      </c>
      <c r="B39" s="21">
        <v>37</v>
      </c>
    </row>
    <row r="40" spans="1:2" ht="15.6">
      <c r="A40" s="22" t="s">
        <v>50</v>
      </c>
      <c r="B40" s="21">
        <v>38</v>
      </c>
    </row>
    <row r="41" spans="1:2" ht="15.6">
      <c r="A41" s="22" t="s">
        <v>51</v>
      </c>
      <c r="B41" s="21">
        <v>39</v>
      </c>
    </row>
    <row r="42" spans="1:2" ht="15.6">
      <c r="A42" s="22" t="s">
        <v>52</v>
      </c>
      <c r="B42" s="21">
        <v>40</v>
      </c>
    </row>
    <row r="43" spans="1:2" ht="15.6">
      <c r="A43" s="22" t="s">
        <v>53</v>
      </c>
      <c r="B43" s="21">
        <v>41</v>
      </c>
    </row>
    <row r="44" spans="1:2" ht="15.6">
      <c r="A44" s="22" t="s">
        <v>54</v>
      </c>
      <c r="B44" s="21">
        <v>42</v>
      </c>
    </row>
    <row r="45" spans="1:2" ht="15.6">
      <c r="A45" s="22" t="s">
        <v>55</v>
      </c>
      <c r="B45" s="21">
        <v>43</v>
      </c>
    </row>
    <row r="46" spans="1:2" ht="15.6">
      <c r="A46" s="22" t="s">
        <v>56</v>
      </c>
      <c r="B46" s="21">
        <v>44</v>
      </c>
    </row>
    <row r="47" spans="1:2" ht="15.6">
      <c r="A47" s="22" t="s">
        <v>57</v>
      </c>
      <c r="B47" s="21">
        <v>45</v>
      </c>
    </row>
    <row r="48" spans="1:2" ht="15.6">
      <c r="A48" s="22" t="s">
        <v>58</v>
      </c>
      <c r="B48" s="21">
        <v>46</v>
      </c>
    </row>
    <row r="49" spans="1:2" ht="15.6">
      <c r="A49" s="22" t="s">
        <v>59</v>
      </c>
      <c r="B49" s="21">
        <v>47</v>
      </c>
    </row>
    <row r="50" spans="1:2" ht="15.6">
      <c r="A50" s="22" t="s">
        <v>60</v>
      </c>
      <c r="B50" s="21">
        <v>48</v>
      </c>
    </row>
    <row r="51" spans="1:2" ht="15.6">
      <c r="A51" s="22" t="s">
        <v>61</v>
      </c>
      <c r="B51" s="21">
        <v>49</v>
      </c>
    </row>
    <row r="52" spans="1:2" ht="15.6">
      <c r="A52" s="22" t="s">
        <v>62</v>
      </c>
      <c r="B52" s="21">
        <v>50</v>
      </c>
    </row>
    <row r="53" spans="1:2" ht="15.6">
      <c r="A53" s="22" t="s">
        <v>63</v>
      </c>
      <c r="B53" s="21">
        <v>51</v>
      </c>
    </row>
    <row r="54" spans="1:2" ht="15.6">
      <c r="A54" s="22" t="s">
        <v>64</v>
      </c>
      <c r="B54" s="21">
        <v>52</v>
      </c>
    </row>
    <row r="55" spans="1:2" ht="15.6">
      <c r="A55" s="22" t="s">
        <v>65</v>
      </c>
      <c r="B55" s="21">
        <v>53</v>
      </c>
    </row>
    <row r="56" spans="1:2" ht="15.6">
      <c r="A56" s="22" t="s">
        <v>66</v>
      </c>
      <c r="B56" s="21">
        <v>54</v>
      </c>
    </row>
    <row r="57" spans="1:2" ht="15.6">
      <c r="A57" s="22" t="s">
        <v>67</v>
      </c>
      <c r="B57" s="21">
        <v>55</v>
      </c>
    </row>
    <row r="58" spans="1:2" ht="15.6">
      <c r="A58" s="22" t="s">
        <v>68</v>
      </c>
      <c r="B58" s="21">
        <v>56</v>
      </c>
    </row>
    <row r="59" spans="1:2" ht="15.6">
      <c r="A59" s="22" t="s">
        <v>69</v>
      </c>
      <c r="B59" s="21">
        <v>57</v>
      </c>
    </row>
    <row r="60" spans="1:2" ht="15.6">
      <c r="A60" s="22" t="s">
        <v>70</v>
      </c>
      <c r="B60" s="21">
        <v>58</v>
      </c>
    </row>
    <row r="61" spans="1:2" ht="15.6">
      <c r="A61" s="22" t="s">
        <v>71</v>
      </c>
      <c r="B61" s="21">
        <v>59</v>
      </c>
    </row>
    <row r="62" spans="1:2" ht="15.6">
      <c r="A62" s="22" t="s">
        <v>72</v>
      </c>
      <c r="B62" s="21">
        <v>60</v>
      </c>
    </row>
    <row r="63" spans="1:2" ht="15.6">
      <c r="A63" s="22" t="s">
        <v>73</v>
      </c>
      <c r="B63" s="21">
        <v>61</v>
      </c>
    </row>
    <row r="64" spans="1:2" ht="15.6">
      <c r="A64" s="22" t="s">
        <v>74</v>
      </c>
      <c r="B64" s="21">
        <v>62</v>
      </c>
    </row>
    <row r="65" spans="1:2" ht="15.6">
      <c r="A65" s="22" t="s">
        <v>75</v>
      </c>
      <c r="B65" s="21">
        <v>63</v>
      </c>
    </row>
    <row r="66" spans="1:2" ht="15.6">
      <c r="A66" s="22" t="s">
        <v>76</v>
      </c>
      <c r="B66" s="21">
        <v>64</v>
      </c>
    </row>
    <row r="67" spans="1:2" ht="15.6">
      <c r="A67" s="22" t="s">
        <v>77</v>
      </c>
      <c r="B67" s="21">
        <v>65</v>
      </c>
    </row>
    <row r="68" spans="1:2" ht="15.6">
      <c r="A68" s="22" t="s">
        <v>78</v>
      </c>
      <c r="B68" s="21">
        <v>66</v>
      </c>
    </row>
    <row r="69" spans="1:2" ht="15.6">
      <c r="A69" s="22" t="s">
        <v>79</v>
      </c>
      <c r="B69" s="21">
        <v>67</v>
      </c>
    </row>
    <row r="70" spans="1:2" ht="15.6">
      <c r="A70" s="22" t="s">
        <v>80</v>
      </c>
      <c r="B70" s="21">
        <v>68</v>
      </c>
    </row>
    <row r="71" spans="1:2" ht="15.6">
      <c r="A71" s="22" t="s">
        <v>81</v>
      </c>
      <c r="B71" s="21">
        <v>69</v>
      </c>
    </row>
    <row r="72" spans="1:2" ht="15.6">
      <c r="A72" s="22" t="s">
        <v>82</v>
      </c>
      <c r="B72" s="21">
        <v>70</v>
      </c>
    </row>
    <row r="73" spans="1:2" ht="15.6">
      <c r="A73" s="22" t="s">
        <v>83</v>
      </c>
      <c r="B73" s="21">
        <v>71</v>
      </c>
    </row>
    <row r="74" spans="1:2" ht="15.6">
      <c r="A74" s="22" t="s">
        <v>84</v>
      </c>
      <c r="B74" s="21">
        <v>72</v>
      </c>
    </row>
    <row r="75" spans="1:2" ht="15.6">
      <c r="A75" s="22" t="s">
        <v>85</v>
      </c>
      <c r="B75" s="21">
        <v>73</v>
      </c>
    </row>
    <row r="76" spans="1:2" ht="15.6">
      <c r="A76" s="22" t="s">
        <v>86</v>
      </c>
      <c r="B76" s="21">
        <v>74</v>
      </c>
    </row>
    <row r="77" spans="1:2" ht="15.6">
      <c r="A77" s="22" t="s">
        <v>87</v>
      </c>
      <c r="B77" s="21">
        <v>75</v>
      </c>
    </row>
    <row r="78" spans="1:2" ht="15.6">
      <c r="A78" s="22" t="s">
        <v>88</v>
      </c>
      <c r="B78" s="21">
        <v>76</v>
      </c>
    </row>
    <row r="79" spans="1:2" ht="15.6">
      <c r="A79" s="22" t="s">
        <v>89</v>
      </c>
      <c r="B79" s="21">
        <v>77</v>
      </c>
    </row>
    <row r="80" spans="1:2" ht="15.6">
      <c r="A80" s="22" t="s">
        <v>90</v>
      </c>
      <c r="B80" s="21">
        <v>78</v>
      </c>
    </row>
    <row r="81" spans="1:2" ht="15.6">
      <c r="A81" s="22" t="s">
        <v>91</v>
      </c>
      <c r="B81" s="21">
        <v>79</v>
      </c>
    </row>
    <row r="82" spans="1:2" ht="15.6">
      <c r="A82" s="22" t="s">
        <v>92</v>
      </c>
      <c r="B82" s="21">
        <v>80</v>
      </c>
    </row>
    <row r="83" spans="1:2" ht="15.6">
      <c r="A83" s="22" t="s">
        <v>93</v>
      </c>
      <c r="B83" s="21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2:E13"/>
  <sheetViews>
    <sheetView topLeftCell="A2" zoomScale="175" zoomScaleNormal="175" workbookViewId="0">
      <selection activeCell="E7" sqref="E7"/>
    </sheetView>
  </sheetViews>
  <sheetFormatPr defaultRowHeight="14.4"/>
  <cols>
    <col min="1" max="1" width="12.33203125" bestFit="1" customWidth="1"/>
    <col min="2" max="2" width="13.109375" bestFit="1" customWidth="1"/>
    <col min="3" max="3" width="3.6640625" customWidth="1"/>
    <col min="4" max="4" width="11.6640625" customWidth="1"/>
    <col min="5" max="5" width="10.88671875" customWidth="1"/>
  </cols>
  <sheetData>
    <row r="2" spans="1:5" ht="16.2">
      <c r="A2" s="23" t="s">
        <v>95</v>
      </c>
      <c r="B2" s="24" t="s">
        <v>96</v>
      </c>
      <c r="D2" s="46" t="s">
        <v>96</v>
      </c>
      <c r="E2" s="47">
        <v>81</v>
      </c>
    </row>
    <row r="3" spans="1:5" ht="15.6">
      <c r="A3" s="22" t="s">
        <v>13</v>
      </c>
      <c r="B3" s="20">
        <v>1</v>
      </c>
      <c r="D3" s="46" t="s">
        <v>94</v>
      </c>
      <c r="E3" s="47" t="str">
        <f>INDEX(A:B,MATCH(E2,B:B,0),1)</f>
        <v>Düzce</v>
      </c>
    </row>
    <row r="4" spans="1:5" ht="15.6">
      <c r="A4" s="22" t="s">
        <v>14</v>
      </c>
      <c r="B4" s="21">
        <v>2</v>
      </c>
    </row>
    <row r="5" spans="1:5" ht="15.6">
      <c r="A5" s="22" t="s">
        <v>15</v>
      </c>
      <c r="B5" s="21">
        <v>3</v>
      </c>
    </row>
    <row r="6" spans="1:5" ht="15.6">
      <c r="A6" s="22" t="s">
        <v>16</v>
      </c>
      <c r="B6" s="21">
        <v>4</v>
      </c>
      <c r="E6" t="str">
        <f>INDEX(A:B,MATCH(E2,B:B,0),1)</f>
        <v>Düzce</v>
      </c>
    </row>
    <row r="7" spans="1:5" ht="15.6">
      <c r="A7" s="22" t="s">
        <v>41</v>
      </c>
      <c r="B7" s="21">
        <v>29</v>
      </c>
    </row>
    <row r="8" spans="1:5" ht="15.6">
      <c r="A8" s="22" t="s">
        <v>42</v>
      </c>
      <c r="B8" s="21">
        <v>30</v>
      </c>
    </row>
    <row r="9" spans="1:5" ht="15.6">
      <c r="A9" s="22" t="s">
        <v>65</v>
      </c>
      <c r="B9" s="21">
        <v>53</v>
      </c>
    </row>
    <row r="10" spans="1:5" ht="15.6">
      <c r="A10" s="22" t="s">
        <v>66</v>
      </c>
      <c r="B10" s="21">
        <v>54</v>
      </c>
    </row>
    <row r="11" spans="1:5" ht="15.6">
      <c r="A11" s="22" t="s">
        <v>91</v>
      </c>
      <c r="B11" s="21">
        <v>79</v>
      </c>
    </row>
    <row r="12" spans="1:5" ht="15.6">
      <c r="A12" s="22" t="s">
        <v>92</v>
      </c>
      <c r="B12" s="21">
        <v>80</v>
      </c>
    </row>
    <row r="13" spans="1:5" ht="15.6">
      <c r="A13" s="22" t="s">
        <v>93</v>
      </c>
      <c r="B13" s="2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B2:O23"/>
  <sheetViews>
    <sheetView topLeftCell="A2" zoomScaleNormal="100" workbookViewId="0">
      <selection activeCell="O12" sqref="O12"/>
    </sheetView>
  </sheetViews>
  <sheetFormatPr defaultRowHeight="14.4"/>
  <cols>
    <col min="3" max="3" width="7.88671875" bestFit="1" customWidth="1"/>
    <col min="4" max="4" width="8.6640625" bestFit="1" customWidth="1"/>
    <col min="5" max="5" width="11.44140625" bestFit="1" customWidth="1"/>
    <col min="6" max="8" width="7.88671875" bestFit="1" customWidth="1"/>
    <col min="9" max="9" width="8.109375" bestFit="1" customWidth="1"/>
    <col min="10" max="10" width="9.33203125" bestFit="1" customWidth="1"/>
    <col min="13" max="13" width="10.88671875" customWidth="1"/>
    <col min="15" max="15" width="11.5546875" customWidth="1"/>
    <col min="16" max="16" width="11.88671875" customWidth="1"/>
    <col min="17" max="17" width="12.109375" customWidth="1"/>
    <col min="18" max="18" width="12" customWidth="1"/>
  </cols>
  <sheetData>
    <row r="2" spans="2:15" ht="15" thickBot="1">
      <c r="C2" s="9" t="s">
        <v>179</v>
      </c>
      <c r="D2" s="9" t="s">
        <v>180</v>
      </c>
      <c r="E2" s="9" t="s">
        <v>181</v>
      </c>
      <c r="F2" s="9" t="s">
        <v>182</v>
      </c>
      <c r="G2" s="9" t="s">
        <v>183</v>
      </c>
      <c r="H2" s="9" t="s">
        <v>184</v>
      </c>
      <c r="I2" s="9" t="s">
        <v>185</v>
      </c>
      <c r="J2" s="9" t="s">
        <v>186</v>
      </c>
    </row>
    <row r="3" spans="2:15" ht="16.5" customHeight="1">
      <c r="C3" s="8" t="s">
        <v>98</v>
      </c>
      <c r="D3" s="8" t="s">
        <v>99</v>
      </c>
      <c r="E3" s="8" t="s">
        <v>100</v>
      </c>
      <c r="F3" s="8" t="s">
        <v>101</v>
      </c>
      <c r="G3" s="8" t="s">
        <v>102</v>
      </c>
      <c r="H3" s="8" t="s">
        <v>103</v>
      </c>
      <c r="I3" s="8" t="s">
        <v>104</v>
      </c>
      <c r="J3" s="8" t="s">
        <v>105</v>
      </c>
      <c r="O3" s="13" t="s">
        <v>147</v>
      </c>
    </row>
    <row r="4" spans="2:15" ht="16.2" thickBot="1">
      <c r="B4" s="9" t="s">
        <v>187</v>
      </c>
      <c r="C4" s="4">
        <v>1</v>
      </c>
      <c r="D4" s="2" t="s">
        <v>5</v>
      </c>
      <c r="E4" s="2" t="s">
        <v>123</v>
      </c>
      <c r="F4" s="4">
        <v>63</v>
      </c>
      <c r="G4" s="7">
        <v>162</v>
      </c>
      <c r="H4" s="6">
        <v>44</v>
      </c>
      <c r="I4" s="2" t="s">
        <v>143</v>
      </c>
      <c r="J4" s="2" t="s">
        <v>145</v>
      </c>
      <c r="N4" s="18" t="s">
        <v>149</v>
      </c>
      <c r="O4" s="14">
        <v>5</v>
      </c>
    </row>
    <row r="5" spans="2:15" ht="15" thickBot="1">
      <c r="B5" s="9" t="s">
        <v>188</v>
      </c>
      <c r="C5" s="4">
        <v>2</v>
      </c>
      <c r="D5" s="2" t="s">
        <v>6</v>
      </c>
      <c r="E5" s="2" t="s">
        <v>124</v>
      </c>
      <c r="F5" s="4">
        <v>42</v>
      </c>
      <c r="G5" s="7">
        <v>170</v>
      </c>
      <c r="H5" s="6">
        <v>59</v>
      </c>
      <c r="I5" s="2" t="s">
        <v>143</v>
      </c>
      <c r="J5" s="2" t="s">
        <v>145</v>
      </c>
      <c r="M5" s="16" t="s">
        <v>148</v>
      </c>
      <c r="N5" s="17">
        <v>1</v>
      </c>
      <c r="O5" s="15">
        <f>INDEX(C4:J23,N5,O4)</f>
        <v>162</v>
      </c>
    </row>
    <row r="6" spans="2:15">
      <c r="B6" s="9" t="s">
        <v>189</v>
      </c>
      <c r="C6" s="4">
        <v>3</v>
      </c>
      <c r="D6" s="2" t="s">
        <v>7</v>
      </c>
      <c r="E6" s="2" t="s">
        <v>125</v>
      </c>
      <c r="F6" s="4">
        <v>22</v>
      </c>
      <c r="G6" s="7">
        <v>168</v>
      </c>
      <c r="H6" s="6">
        <v>46</v>
      </c>
      <c r="I6" s="2" t="s">
        <v>143</v>
      </c>
      <c r="J6" s="2" t="s">
        <v>146</v>
      </c>
    </row>
    <row r="7" spans="2:15">
      <c r="B7" s="9" t="s">
        <v>190</v>
      </c>
      <c r="C7" s="4">
        <v>4</v>
      </c>
      <c r="D7" s="2" t="s">
        <v>106</v>
      </c>
      <c r="E7" s="2" t="s">
        <v>126</v>
      </c>
      <c r="F7" s="4">
        <v>24</v>
      </c>
      <c r="G7" s="7">
        <v>168</v>
      </c>
      <c r="H7" s="6">
        <v>98</v>
      </c>
      <c r="I7" s="2" t="s">
        <v>143</v>
      </c>
      <c r="J7" s="2" t="s">
        <v>145</v>
      </c>
    </row>
    <row r="8" spans="2:15">
      <c r="B8" s="9" t="s">
        <v>191</v>
      </c>
      <c r="C8" s="4">
        <v>5</v>
      </c>
      <c r="D8" s="2" t="s">
        <v>107</v>
      </c>
      <c r="E8" s="2" t="s">
        <v>127</v>
      </c>
      <c r="F8" s="4">
        <v>45</v>
      </c>
      <c r="G8" s="7">
        <v>166</v>
      </c>
      <c r="H8" s="6">
        <v>46</v>
      </c>
      <c r="I8" s="2" t="s">
        <v>143</v>
      </c>
      <c r="J8" s="2" t="s">
        <v>145</v>
      </c>
    </row>
    <row r="9" spans="2:15">
      <c r="B9" s="9" t="s">
        <v>192</v>
      </c>
      <c r="C9" s="4">
        <v>6</v>
      </c>
      <c r="D9" s="2" t="s">
        <v>108</v>
      </c>
      <c r="E9" s="2" t="s">
        <v>128</v>
      </c>
      <c r="F9" s="4">
        <v>66</v>
      </c>
      <c r="G9" s="7">
        <v>182</v>
      </c>
      <c r="H9" s="6">
        <v>142</v>
      </c>
      <c r="I9" s="2" t="s">
        <v>144</v>
      </c>
      <c r="J9" s="2" t="s">
        <v>146</v>
      </c>
    </row>
    <row r="10" spans="2:15">
      <c r="B10" s="9" t="s">
        <v>193</v>
      </c>
      <c r="C10" s="4">
        <v>7</v>
      </c>
      <c r="D10" s="2" t="s">
        <v>109</v>
      </c>
      <c r="E10" s="2" t="s">
        <v>129</v>
      </c>
      <c r="F10" s="4">
        <v>49</v>
      </c>
      <c r="G10" s="7">
        <v>181</v>
      </c>
      <c r="H10" s="6">
        <v>49</v>
      </c>
      <c r="I10" s="2" t="s">
        <v>144</v>
      </c>
      <c r="J10" s="2" t="s">
        <v>145</v>
      </c>
    </row>
    <row r="11" spans="2:15">
      <c r="B11" s="9" t="s">
        <v>194</v>
      </c>
      <c r="C11" s="4">
        <v>8</v>
      </c>
      <c r="D11" s="2" t="s">
        <v>110</v>
      </c>
      <c r="E11" s="2" t="s">
        <v>130</v>
      </c>
      <c r="F11" s="4">
        <v>32</v>
      </c>
      <c r="G11" s="7">
        <v>189</v>
      </c>
      <c r="H11" s="6">
        <v>114</v>
      </c>
      <c r="I11" s="2" t="s">
        <v>143</v>
      </c>
      <c r="J11" s="2" t="s">
        <v>145</v>
      </c>
      <c r="N11" s="19" t="s">
        <v>149</v>
      </c>
      <c r="O11" s="10" t="s">
        <v>105</v>
      </c>
    </row>
    <row r="12" spans="2:15">
      <c r="B12" s="9" t="s">
        <v>195</v>
      </c>
      <c r="C12" s="4">
        <v>9</v>
      </c>
      <c r="D12" s="2" t="s">
        <v>111</v>
      </c>
      <c r="E12" s="2" t="s">
        <v>131</v>
      </c>
      <c r="F12" s="4">
        <v>31</v>
      </c>
      <c r="G12" s="7">
        <v>189</v>
      </c>
      <c r="H12" s="6">
        <v>68</v>
      </c>
      <c r="I12" s="2" t="s">
        <v>144</v>
      </c>
      <c r="J12" s="2" t="s">
        <v>146</v>
      </c>
      <c r="N12" s="11" t="s">
        <v>108</v>
      </c>
      <c r="O12" s="12" t="str">
        <f>INDEX(C3:J23,MATCH(N12,D3:D23,0),MATCH(O11,C3:J3,0))</f>
        <v>Sarı</v>
      </c>
    </row>
    <row r="13" spans="2:15">
      <c r="B13" s="9" t="s">
        <v>196</v>
      </c>
      <c r="C13" s="4">
        <v>10</v>
      </c>
      <c r="D13" s="2" t="s">
        <v>112</v>
      </c>
      <c r="E13" s="2" t="s">
        <v>132</v>
      </c>
      <c r="F13" s="4">
        <v>65</v>
      </c>
      <c r="G13" s="7">
        <v>173</v>
      </c>
      <c r="H13" s="6">
        <v>57</v>
      </c>
      <c r="I13" s="2" t="s">
        <v>144</v>
      </c>
      <c r="J13" s="2" t="s">
        <v>145</v>
      </c>
    </row>
    <row r="14" spans="2:15">
      <c r="B14" s="9" t="s">
        <v>197</v>
      </c>
      <c r="C14" s="4">
        <v>11</v>
      </c>
      <c r="D14" s="2" t="s">
        <v>113</v>
      </c>
      <c r="E14" s="2" t="s">
        <v>133</v>
      </c>
      <c r="F14" s="4">
        <v>27</v>
      </c>
      <c r="G14" s="7">
        <v>185</v>
      </c>
      <c r="H14" s="6">
        <v>137</v>
      </c>
      <c r="I14" s="2" t="s">
        <v>144</v>
      </c>
      <c r="J14" s="2" t="s">
        <v>145</v>
      </c>
    </row>
    <row r="15" spans="2:15">
      <c r="B15" s="9" t="s">
        <v>198</v>
      </c>
      <c r="C15" s="4">
        <v>12</v>
      </c>
      <c r="D15" s="2" t="s">
        <v>114</v>
      </c>
      <c r="E15" s="2" t="s">
        <v>134</v>
      </c>
      <c r="F15" s="4">
        <v>23</v>
      </c>
      <c r="G15" s="7">
        <v>164</v>
      </c>
      <c r="H15" s="6">
        <v>78</v>
      </c>
      <c r="I15" s="2" t="s">
        <v>143</v>
      </c>
      <c r="J15" s="2" t="s">
        <v>145</v>
      </c>
    </row>
    <row r="16" spans="2:15">
      <c r="B16" s="9" t="s">
        <v>199</v>
      </c>
      <c r="C16" s="4">
        <v>13</v>
      </c>
      <c r="D16" s="2" t="s">
        <v>115</v>
      </c>
      <c r="E16" s="2" t="s">
        <v>135</v>
      </c>
      <c r="F16" s="4">
        <v>30</v>
      </c>
      <c r="G16" s="7">
        <v>171</v>
      </c>
      <c r="H16" s="6">
        <v>48</v>
      </c>
      <c r="I16" s="2" t="s">
        <v>143</v>
      </c>
      <c r="J16" s="2" t="s">
        <v>146</v>
      </c>
    </row>
    <row r="17" spans="2:10">
      <c r="B17" s="9" t="s">
        <v>200</v>
      </c>
      <c r="C17" s="4">
        <v>14</v>
      </c>
      <c r="D17" s="2" t="s">
        <v>116</v>
      </c>
      <c r="E17" s="2" t="s">
        <v>136</v>
      </c>
      <c r="F17" s="4">
        <v>69</v>
      </c>
      <c r="G17" s="7">
        <v>172</v>
      </c>
      <c r="H17" s="6">
        <v>58</v>
      </c>
      <c r="I17" s="2" t="s">
        <v>143</v>
      </c>
      <c r="J17" s="2" t="s">
        <v>145</v>
      </c>
    </row>
    <row r="18" spans="2:10">
      <c r="B18" s="9" t="s">
        <v>201</v>
      </c>
      <c r="C18" s="4">
        <v>15</v>
      </c>
      <c r="D18" s="2" t="s">
        <v>117</v>
      </c>
      <c r="E18" s="2" t="s">
        <v>137</v>
      </c>
      <c r="F18" s="4">
        <v>38</v>
      </c>
      <c r="G18" s="7">
        <v>190</v>
      </c>
      <c r="H18" s="6">
        <v>118</v>
      </c>
      <c r="I18" s="2" t="s">
        <v>143</v>
      </c>
      <c r="J18" s="2" t="s">
        <v>146</v>
      </c>
    </row>
    <row r="19" spans="2:10">
      <c r="B19" s="9" t="s">
        <v>202</v>
      </c>
      <c r="C19" s="4">
        <v>16</v>
      </c>
      <c r="D19" s="2" t="s">
        <v>118</v>
      </c>
      <c r="E19" s="2" t="s">
        <v>138</v>
      </c>
      <c r="F19" s="4">
        <v>68</v>
      </c>
      <c r="G19" s="7">
        <v>187</v>
      </c>
      <c r="H19" s="6">
        <v>79</v>
      </c>
      <c r="I19" s="2" t="s">
        <v>143</v>
      </c>
      <c r="J19" s="2" t="s">
        <v>145</v>
      </c>
    </row>
    <row r="20" spans="2:10">
      <c r="B20" s="9" t="s">
        <v>203</v>
      </c>
      <c r="C20" s="4">
        <v>17</v>
      </c>
      <c r="D20" s="2" t="s">
        <v>119</v>
      </c>
      <c r="E20" s="2" t="s">
        <v>139</v>
      </c>
      <c r="F20" s="4">
        <v>52</v>
      </c>
      <c r="G20" s="7">
        <v>164</v>
      </c>
      <c r="H20" s="6">
        <v>129</v>
      </c>
      <c r="I20" s="2" t="s">
        <v>143</v>
      </c>
      <c r="J20" s="2" t="s">
        <v>145</v>
      </c>
    </row>
    <row r="21" spans="2:10">
      <c r="B21" s="9" t="s">
        <v>204</v>
      </c>
      <c r="C21" s="4">
        <v>18</v>
      </c>
      <c r="D21" s="2" t="s">
        <v>120</v>
      </c>
      <c r="E21" s="2" t="s">
        <v>140</v>
      </c>
      <c r="F21" s="4">
        <v>59</v>
      </c>
      <c r="G21" s="7">
        <v>178</v>
      </c>
      <c r="H21" s="6">
        <v>65</v>
      </c>
      <c r="I21" s="2" t="s">
        <v>143</v>
      </c>
      <c r="J21" s="2" t="s">
        <v>146</v>
      </c>
    </row>
    <row r="22" spans="2:10">
      <c r="B22" s="9" t="s">
        <v>205</v>
      </c>
      <c r="C22" s="4">
        <v>19</v>
      </c>
      <c r="D22" s="2" t="s">
        <v>121</v>
      </c>
      <c r="E22" s="2" t="s">
        <v>141</v>
      </c>
      <c r="F22" s="4">
        <v>43</v>
      </c>
      <c r="G22" s="7">
        <v>173</v>
      </c>
      <c r="H22" s="6">
        <v>136</v>
      </c>
      <c r="I22" s="2" t="s">
        <v>144</v>
      </c>
      <c r="J22" s="2" t="s">
        <v>145</v>
      </c>
    </row>
    <row r="23" spans="2:10">
      <c r="B23" s="9" t="s">
        <v>206</v>
      </c>
      <c r="C23" s="4">
        <v>20</v>
      </c>
      <c r="D23" s="2" t="s">
        <v>122</v>
      </c>
      <c r="E23" s="2" t="s">
        <v>142</v>
      </c>
      <c r="F23" s="4">
        <v>43</v>
      </c>
      <c r="G23" s="7">
        <v>180</v>
      </c>
      <c r="H23" s="6">
        <v>121</v>
      </c>
      <c r="I23" s="2" t="s">
        <v>143</v>
      </c>
      <c r="J23" s="2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C3:S23"/>
  <sheetViews>
    <sheetView topLeftCell="A5" workbookViewId="0">
      <selection activeCell="Q13" sqref="Q13"/>
    </sheetView>
  </sheetViews>
  <sheetFormatPr defaultRowHeight="14.4"/>
  <cols>
    <col min="5" max="5" width="11" customWidth="1"/>
    <col min="15" max="15" width="4" customWidth="1"/>
  </cols>
  <sheetData>
    <row r="3" spans="3:19">
      <c r="C3" s="8" t="s">
        <v>150</v>
      </c>
      <c r="D3" s="8" t="s">
        <v>99</v>
      </c>
      <c r="E3" s="8" t="s">
        <v>100</v>
      </c>
      <c r="F3" s="8" t="s">
        <v>101</v>
      </c>
      <c r="G3" s="8" t="s">
        <v>102</v>
      </c>
      <c r="H3" s="8" t="s">
        <v>103</v>
      </c>
      <c r="I3" s="8" t="s">
        <v>104</v>
      </c>
      <c r="J3" s="8" t="s">
        <v>105</v>
      </c>
      <c r="M3" s="61" t="s">
        <v>152</v>
      </c>
      <c r="N3" s="61"/>
      <c r="P3" s="61" t="s">
        <v>151</v>
      </c>
      <c r="Q3" s="61"/>
    </row>
    <row r="4" spans="3:19">
      <c r="C4" s="4">
        <v>1</v>
      </c>
      <c r="D4" s="2" t="s">
        <v>5</v>
      </c>
      <c r="E4" s="2" t="s">
        <v>123</v>
      </c>
      <c r="F4" s="2">
        <v>63</v>
      </c>
      <c r="G4" s="7">
        <v>162</v>
      </c>
      <c r="H4" s="6">
        <v>44</v>
      </c>
      <c r="I4" s="2" t="s">
        <v>143</v>
      </c>
      <c r="J4" s="2" t="s">
        <v>145</v>
      </c>
      <c r="M4" s="61"/>
      <c r="N4" s="61"/>
      <c r="P4" s="61"/>
      <c r="Q4" s="61"/>
    </row>
    <row r="5" spans="3:19" ht="16.5" customHeight="1">
      <c r="C5" s="4">
        <v>2</v>
      </c>
      <c r="D5" s="2" t="s">
        <v>6</v>
      </c>
      <c r="E5" s="2" t="s">
        <v>124</v>
      </c>
      <c r="F5" s="2">
        <v>42</v>
      </c>
      <c r="G5" s="7">
        <v>170</v>
      </c>
      <c r="H5" s="6">
        <v>59</v>
      </c>
      <c r="I5" s="2" t="s">
        <v>143</v>
      </c>
      <c r="J5" s="2" t="s">
        <v>145</v>
      </c>
      <c r="M5" s="27"/>
      <c r="N5" s="28"/>
      <c r="P5" s="27"/>
      <c r="Q5" s="28"/>
      <c r="S5" s="34" t="s">
        <v>150</v>
      </c>
    </row>
    <row r="6" spans="3:19">
      <c r="C6" s="4">
        <v>3</v>
      </c>
      <c r="D6" s="2" t="s">
        <v>7</v>
      </c>
      <c r="E6" s="2" t="s">
        <v>125</v>
      </c>
      <c r="F6" s="2">
        <v>22</v>
      </c>
      <c r="G6" s="7">
        <v>168</v>
      </c>
      <c r="H6" s="6">
        <v>46</v>
      </c>
      <c r="I6" s="2" t="s">
        <v>143</v>
      </c>
      <c r="J6" s="2" t="s">
        <v>146</v>
      </c>
      <c r="M6" s="30" t="s">
        <v>150</v>
      </c>
      <c r="N6" s="31">
        <v>4</v>
      </c>
      <c r="P6" s="26" t="s">
        <v>150</v>
      </c>
      <c r="Q6" s="4">
        <f>N6</f>
        <v>4</v>
      </c>
      <c r="S6" s="32"/>
    </row>
    <row r="7" spans="3:19">
      <c r="C7" s="4">
        <v>4</v>
      </c>
      <c r="D7" s="2" t="s">
        <v>106</v>
      </c>
      <c r="E7" s="2" t="s">
        <v>126</v>
      </c>
      <c r="F7" s="2">
        <v>24</v>
      </c>
      <c r="G7" s="7">
        <v>168</v>
      </c>
      <c r="H7" s="6">
        <v>98</v>
      </c>
      <c r="I7" s="2" t="s">
        <v>143</v>
      </c>
      <c r="J7" s="2" t="s">
        <v>145</v>
      </c>
      <c r="M7" s="30" t="s">
        <v>99</v>
      </c>
      <c r="N7" s="29" t="str">
        <f>VLOOKUP($N$6,$C$3:$J$23,2,0)</f>
        <v>Ali</v>
      </c>
      <c r="P7" s="26" t="s">
        <v>99</v>
      </c>
      <c r="Q7" s="4" t="str">
        <f>INDEX($D$4:$D$23,MATCH($N$6,C4:C23,0))</f>
        <v>Ali</v>
      </c>
      <c r="S7" s="32"/>
    </row>
    <row r="8" spans="3:19">
      <c r="C8" s="4">
        <v>5</v>
      </c>
      <c r="D8" s="2" t="s">
        <v>107</v>
      </c>
      <c r="E8" s="2" t="s">
        <v>127</v>
      </c>
      <c r="F8" s="2">
        <v>45</v>
      </c>
      <c r="G8" s="7">
        <v>166</v>
      </c>
      <c r="H8" s="6">
        <v>46</v>
      </c>
      <c r="I8" s="2" t="s">
        <v>143</v>
      </c>
      <c r="J8" s="2" t="s">
        <v>145</v>
      </c>
      <c r="M8" s="30" t="s">
        <v>100</v>
      </c>
      <c r="N8" s="29" t="str">
        <f>VLOOKUP($N$6,$C$3:$J$23,3,0)</f>
        <v>TAŞBAŞI</v>
      </c>
      <c r="P8" s="26" t="s">
        <v>100</v>
      </c>
      <c r="Q8" s="4" t="str">
        <f>INDEX($C$3:$J$23,MATCH($N$6,$C$3:$C$23,0),3)</f>
        <v>TAŞBAŞI</v>
      </c>
      <c r="S8" s="32"/>
    </row>
    <row r="9" spans="3:19">
      <c r="C9" s="4">
        <v>6</v>
      </c>
      <c r="D9" s="2" t="s">
        <v>108</v>
      </c>
      <c r="E9" s="2" t="s">
        <v>128</v>
      </c>
      <c r="F9" s="2">
        <v>66</v>
      </c>
      <c r="G9" s="7">
        <v>182</v>
      </c>
      <c r="H9" s="6">
        <v>142</v>
      </c>
      <c r="I9" s="2" t="s">
        <v>144</v>
      </c>
      <c r="J9" s="2" t="s">
        <v>146</v>
      </c>
      <c r="M9" s="30" t="s">
        <v>101</v>
      </c>
      <c r="N9" s="29">
        <f>VLOOKUP($N$6,$C$3:$J$23,4,0)</f>
        <v>24</v>
      </c>
      <c r="P9" s="26" t="s">
        <v>101</v>
      </c>
      <c r="Q9" s="4">
        <f>INDEX($C$3:$J$23,MATCH($N$6,$C$3:$C$23,0),4)</f>
        <v>24</v>
      </c>
      <c r="S9" s="32"/>
    </row>
    <row r="10" spans="3:19">
      <c r="C10" s="4">
        <v>7</v>
      </c>
      <c r="D10" s="2" t="s">
        <v>109</v>
      </c>
      <c r="E10" s="2" t="s">
        <v>129</v>
      </c>
      <c r="F10" s="2">
        <v>49</v>
      </c>
      <c r="G10" s="7">
        <v>181</v>
      </c>
      <c r="H10" s="6">
        <v>49</v>
      </c>
      <c r="I10" s="2" t="s">
        <v>144</v>
      </c>
      <c r="J10" s="2" t="s">
        <v>145</v>
      </c>
      <c r="M10" s="30" t="s">
        <v>102</v>
      </c>
      <c r="N10" s="29">
        <f>VLOOKUP($N$6,$C$3:$J$23,5,0)</f>
        <v>168</v>
      </c>
      <c r="P10" s="26" t="s">
        <v>102</v>
      </c>
      <c r="Q10" s="4">
        <f>INDEX($C$3:$J$23,MATCH($N$6,$C$3:$C$23,0),5)</f>
        <v>168</v>
      </c>
      <c r="S10" s="32"/>
    </row>
    <row r="11" spans="3:19">
      <c r="C11" s="4">
        <v>8</v>
      </c>
      <c r="D11" s="2" t="s">
        <v>110</v>
      </c>
      <c r="E11" s="2" t="s">
        <v>130</v>
      </c>
      <c r="F11" s="2">
        <v>32</v>
      </c>
      <c r="G11" s="7">
        <v>189</v>
      </c>
      <c r="H11" s="6">
        <v>114</v>
      </c>
      <c r="I11" s="2" t="s">
        <v>143</v>
      </c>
      <c r="J11" s="2" t="s">
        <v>145</v>
      </c>
      <c r="M11" s="30" t="s">
        <v>103</v>
      </c>
      <c r="N11" s="29">
        <f>VLOOKUP($N$6,$C$3:$J$23,6,0)</f>
        <v>98</v>
      </c>
      <c r="P11" s="26" t="s">
        <v>103</v>
      </c>
      <c r="Q11" s="4">
        <f>INDEX($C$3:$J$23,MATCH($N$6,$C$3:$C$23,0),6)</f>
        <v>98</v>
      </c>
      <c r="S11" s="32"/>
    </row>
    <row r="12" spans="3:19">
      <c r="C12" s="4">
        <v>9</v>
      </c>
      <c r="D12" s="2" t="s">
        <v>111</v>
      </c>
      <c r="E12" s="2" t="s">
        <v>131</v>
      </c>
      <c r="F12" s="2">
        <v>31</v>
      </c>
      <c r="G12" s="7">
        <v>189</v>
      </c>
      <c r="H12" s="6">
        <v>68</v>
      </c>
      <c r="I12" s="2" t="s">
        <v>144</v>
      </c>
      <c r="J12" s="2" t="s">
        <v>146</v>
      </c>
      <c r="M12" s="30" t="s">
        <v>104</v>
      </c>
      <c r="N12" s="29" t="str">
        <f>VLOOKUP($N$6,$C$3:$J$23,7,0)</f>
        <v>Erkek</v>
      </c>
      <c r="P12" s="26" t="s">
        <v>104</v>
      </c>
      <c r="Q12" s="4" t="str">
        <f>INDEX($C$3:$J$23,MATCH($N$6,$C$3:$C$23,0),7)</f>
        <v>Erkek</v>
      </c>
      <c r="S12" s="32"/>
    </row>
    <row r="13" spans="3:19">
      <c r="C13" s="4">
        <v>10</v>
      </c>
      <c r="D13" s="2" t="s">
        <v>112</v>
      </c>
      <c r="E13" s="2" t="s">
        <v>132</v>
      </c>
      <c r="F13" s="2">
        <v>65</v>
      </c>
      <c r="G13" s="7">
        <v>173</v>
      </c>
      <c r="H13" s="6">
        <v>57</v>
      </c>
      <c r="I13" s="2" t="s">
        <v>144</v>
      </c>
      <c r="J13" s="2" t="s">
        <v>145</v>
      </c>
      <c r="M13" s="30" t="s">
        <v>105</v>
      </c>
      <c r="N13" s="29" t="str">
        <f>VLOOKUP($N$6,$C$3:$J$23,8,0)</f>
        <v>Siyah</v>
      </c>
      <c r="P13" s="26" t="s">
        <v>105</v>
      </c>
      <c r="Q13" s="4" t="str">
        <f>INDEX($C$3:$J$23,MATCH($N$6,$C$3:$C$23,0),8)</f>
        <v>Siyah</v>
      </c>
      <c r="S13" s="32"/>
    </row>
    <row r="14" spans="3:19">
      <c r="C14" s="4">
        <v>11</v>
      </c>
      <c r="D14" s="2" t="s">
        <v>113</v>
      </c>
      <c r="E14" s="2" t="s">
        <v>133</v>
      </c>
      <c r="F14" s="2">
        <v>27</v>
      </c>
      <c r="G14" s="7">
        <v>185</v>
      </c>
      <c r="H14" s="6">
        <v>137</v>
      </c>
      <c r="I14" s="2" t="s">
        <v>144</v>
      </c>
      <c r="J14" s="2" t="s">
        <v>145</v>
      </c>
      <c r="S14" s="33"/>
    </row>
    <row r="15" spans="3:19">
      <c r="C15" s="4">
        <v>12</v>
      </c>
      <c r="D15" s="2" t="s">
        <v>114</v>
      </c>
      <c r="E15" s="2" t="s">
        <v>134</v>
      </c>
      <c r="F15" s="2">
        <v>23</v>
      </c>
      <c r="G15" s="7">
        <v>164</v>
      </c>
      <c r="H15" s="6">
        <v>78</v>
      </c>
      <c r="I15" s="2" t="s">
        <v>143</v>
      </c>
      <c r="J15" s="2" t="s">
        <v>145</v>
      </c>
    </row>
    <row r="16" spans="3:19">
      <c r="C16" s="4">
        <v>13</v>
      </c>
      <c r="D16" s="2" t="s">
        <v>115</v>
      </c>
      <c r="E16" s="2" t="s">
        <v>135</v>
      </c>
      <c r="F16" s="2">
        <v>30</v>
      </c>
      <c r="G16" s="7">
        <v>171</v>
      </c>
      <c r="H16" s="6">
        <v>48</v>
      </c>
      <c r="I16" s="2" t="s">
        <v>143</v>
      </c>
      <c r="J16" s="2" t="s">
        <v>146</v>
      </c>
    </row>
    <row r="17" spans="3:10">
      <c r="C17" s="4">
        <v>14</v>
      </c>
      <c r="D17" s="2" t="s">
        <v>116</v>
      </c>
      <c r="E17" s="2" t="s">
        <v>136</v>
      </c>
      <c r="F17" s="2">
        <v>69</v>
      </c>
      <c r="G17" s="7">
        <v>172</v>
      </c>
      <c r="H17" s="6">
        <v>58</v>
      </c>
      <c r="I17" s="2" t="s">
        <v>143</v>
      </c>
      <c r="J17" s="2" t="s">
        <v>145</v>
      </c>
    </row>
    <row r="18" spans="3:10">
      <c r="C18" s="4">
        <v>15</v>
      </c>
      <c r="D18" s="2" t="s">
        <v>117</v>
      </c>
      <c r="E18" s="2" t="s">
        <v>137</v>
      </c>
      <c r="F18" s="2">
        <v>38</v>
      </c>
      <c r="G18" s="7">
        <v>190</v>
      </c>
      <c r="H18" s="6">
        <v>118</v>
      </c>
      <c r="I18" s="2" t="s">
        <v>143</v>
      </c>
      <c r="J18" s="2" t="s">
        <v>146</v>
      </c>
    </row>
    <row r="19" spans="3:10">
      <c r="C19" s="4">
        <v>16</v>
      </c>
      <c r="D19" s="2" t="s">
        <v>118</v>
      </c>
      <c r="E19" s="2" t="s">
        <v>138</v>
      </c>
      <c r="F19" s="2">
        <v>68</v>
      </c>
      <c r="G19" s="7">
        <v>187</v>
      </c>
      <c r="H19" s="6">
        <v>79</v>
      </c>
      <c r="I19" s="2" t="s">
        <v>143</v>
      </c>
      <c r="J19" s="2" t="s">
        <v>145</v>
      </c>
    </row>
    <row r="20" spans="3:10">
      <c r="C20" s="4">
        <v>17</v>
      </c>
      <c r="D20" s="2" t="s">
        <v>119</v>
      </c>
      <c r="E20" s="2" t="s">
        <v>139</v>
      </c>
      <c r="F20" s="2">
        <v>52</v>
      </c>
      <c r="G20" s="7">
        <v>164</v>
      </c>
      <c r="H20" s="6">
        <v>129</v>
      </c>
      <c r="I20" s="2" t="s">
        <v>143</v>
      </c>
      <c r="J20" s="2" t="s">
        <v>145</v>
      </c>
    </row>
    <row r="21" spans="3:10">
      <c r="C21" s="4">
        <v>18</v>
      </c>
      <c r="D21" s="2" t="s">
        <v>120</v>
      </c>
      <c r="E21" s="2" t="s">
        <v>140</v>
      </c>
      <c r="F21" s="2">
        <v>59</v>
      </c>
      <c r="G21" s="7">
        <v>178</v>
      </c>
      <c r="H21" s="6">
        <v>65</v>
      </c>
      <c r="I21" s="2" t="s">
        <v>143</v>
      </c>
      <c r="J21" s="2" t="s">
        <v>146</v>
      </c>
    </row>
    <row r="22" spans="3:10">
      <c r="C22" s="4">
        <v>19</v>
      </c>
      <c r="D22" s="2" t="s">
        <v>121</v>
      </c>
      <c r="E22" s="2" t="s">
        <v>141</v>
      </c>
      <c r="F22" s="2">
        <v>43</v>
      </c>
      <c r="G22" s="7">
        <v>173</v>
      </c>
      <c r="H22" s="6">
        <v>136</v>
      </c>
      <c r="I22" s="2" t="s">
        <v>144</v>
      </c>
      <c r="J22" s="2" t="s">
        <v>145</v>
      </c>
    </row>
    <row r="23" spans="3:10">
      <c r="C23" s="4">
        <v>20</v>
      </c>
      <c r="D23" s="2" t="s">
        <v>122</v>
      </c>
      <c r="E23" s="2" t="s">
        <v>142</v>
      </c>
      <c r="F23" s="2">
        <v>43</v>
      </c>
      <c r="G23" s="7">
        <v>180</v>
      </c>
      <c r="H23" s="6">
        <v>121</v>
      </c>
      <c r="I23" s="2" t="s">
        <v>143</v>
      </c>
      <c r="J23" s="2" t="s">
        <v>146</v>
      </c>
    </row>
  </sheetData>
  <mergeCells count="2">
    <mergeCell ref="M3:N4"/>
    <mergeCell ref="P3:Q4"/>
  </mergeCells>
  <dataValidations count="1">
    <dataValidation type="list" allowBlank="1" showInputMessage="1" showErrorMessage="1" sqref="N6" xr:uid="{00000000-0002-0000-0300-000000000000}">
      <formula1>$C$4:$C$23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5" r:id="rId3" name="List Box 13">
              <controlPr defaultSize="0" autoLine="0" autoPict="0">
                <anchor moveWithCells="1">
                  <from>
                    <xdr:col>18</xdr:col>
                    <xdr:colOff>0</xdr:colOff>
                    <xdr:row>5</xdr:row>
                    <xdr:rowOff>0</xdr:rowOff>
                  </from>
                  <to>
                    <xdr:col>19</xdr:col>
                    <xdr:colOff>7620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B4:K23"/>
  <sheetViews>
    <sheetView workbookViewId="0">
      <selection activeCell="J7" sqref="J7"/>
    </sheetView>
  </sheetViews>
  <sheetFormatPr defaultRowHeight="14.4"/>
  <cols>
    <col min="2" max="2" width="20.6640625" customWidth="1"/>
    <col min="3" max="3" width="13.44140625" customWidth="1"/>
    <col min="4" max="4" width="10.6640625" customWidth="1"/>
    <col min="8" max="8" width="5.44140625" customWidth="1"/>
    <col min="9" max="9" width="18.33203125" customWidth="1"/>
    <col min="10" max="10" width="12.6640625" bestFit="1" customWidth="1"/>
    <col min="11" max="11" width="45.5546875" customWidth="1"/>
  </cols>
  <sheetData>
    <row r="4" spans="2:11">
      <c r="B4" s="37" t="s">
        <v>153</v>
      </c>
      <c r="C4" s="37" t="s">
        <v>154</v>
      </c>
      <c r="D4" s="37" t="s">
        <v>173</v>
      </c>
      <c r="H4" s="38" t="s">
        <v>174</v>
      </c>
      <c r="I4" s="38" t="s">
        <v>175</v>
      </c>
      <c r="J4" s="38" t="s">
        <v>176</v>
      </c>
      <c r="K4" s="37" t="s">
        <v>178</v>
      </c>
    </row>
    <row r="5" spans="2:11">
      <c r="B5" s="2" t="s">
        <v>155</v>
      </c>
      <c r="C5" s="36">
        <v>235661</v>
      </c>
      <c r="D5" s="4">
        <f>_xlfn.RANK.EQ(C5,$C$5:$C$23,0)</f>
        <v>12</v>
      </c>
      <c r="H5" s="4">
        <v>1</v>
      </c>
      <c r="I5" s="2" t="str">
        <f>INDEX($B$5:$B$23,MATCH(H5,$D$5:$D$23,0))</f>
        <v>Zeynep TUNÇ</v>
      </c>
      <c r="J5" s="35">
        <f>INDEX($C$5:$C$23,MATCH(H5,$D$5:$D$23,0))</f>
        <v>800000</v>
      </c>
      <c r="K5" s="2" t="s">
        <v>177</v>
      </c>
    </row>
    <row r="6" spans="2:11">
      <c r="B6" s="2" t="s">
        <v>156</v>
      </c>
      <c r="C6" s="36">
        <v>421526</v>
      </c>
      <c r="D6" s="4">
        <f t="shared" ref="D6:D23" si="0">_xlfn.RANK.EQ(C6,$C$5:$C$23,0)</f>
        <v>3</v>
      </c>
      <c r="H6" s="4">
        <v>2</v>
      </c>
      <c r="I6" s="2" t="str">
        <f t="shared" ref="I6:I9" si="1">INDEX($B$5:$B$23,MATCH(H6,$D$5:$D$23,0))</f>
        <v>Selman TEVER</v>
      </c>
      <c r="J6" s="35">
        <f t="shared" ref="J6:J9" si="2">INDEX($C$5:$C$23,MATCH(H6,$D$5:$D$23,0))</f>
        <v>540000</v>
      </c>
    </row>
    <row r="7" spans="2:11">
      <c r="B7" s="2" t="s">
        <v>157</v>
      </c>
      <c r="C7" s="36">
        <v>132035</v>
      </c>
      <c r="D7" s="4">
        <f t="shared" si="0"/>
        <v>15</v>
      </c>
      <c r="H7" s="4">
        <v>3</v>
      </c>
      <c r="I7" s="2" t="str">
        <f t="shared" si="1"/>
        <v>Ali TAŞBAŞI</v>
      </c>
      <c r="J7" s="35">
        <f t="shared" si="2"/>
        <v>421526</v>
      </c>
    </row>
    <row r="8" spans="2:11">
      <c r="B8" s="2" t="s">
        <v>158</v>
      </c>
      <c r="C8" s="36">
        <v>320293</v>
      </c>
      <c r="D8" s="4">
        <f t="shared" si="0"/>
        <v>7</v>
      </c>
      <c r="H8" s="4">
        <v>4</v>
      </c>
      <c r="I8" s="2" t="str">
        <f t="shared" si="1"/>
        <v>Şeyma GÜNGÖREN</v>
      </c>
      <c r="J8" s="35">
        <f t="shared" si="2"/>
        <v>395378</v>
      </c>
    </row>
    <row r="9" spans="2:11">
      <c r="B9" s="2" t="s">
        <v>159</v>
      </c>
      <c r="C9" s="36">
        <v>34153</v>
      </c>
      <c r="D9" s="4">
        <f t="shared" si="0"/>
        <v>19</v>
      </c>
      <c r="H9" s="4">
        <v>5</v>
      </c>
      <c r="I9" s="2" t="str">
        <f t="shared" si="1"/>
        <v>Rıza TAŞPINAR</v>
      </c>
      <c r="J9" s="35">
        <f t="shared" si="2"/>
        <v>357987</v>
      </c>
    </row>
    <row r="10" spans="2:11">
      <c r="B10" s="2" t="s">
        <v>160</v>
      </c>
      <c r="C10" s="36">
        <v>540000</v>
      </c>
      <c r="D10" s="4">
        <f t="shared" si="0"/>
        <v>2</v>
      </c>
      <c r="H10" s="1"/>
    </row>
    <row r="11" spans="2:11">
      <c r="B11" s="2" t="s">
        <v>161</v>
      </c>
      <c r="C11" s="36">
        <v>395378</v>
      </c>
      <c r="D11" s="4">
        <f t="shared" si="0"/>
        <v>4</v>
      </c>
    </row>
    <row r="12" spans="2:11">
      <c r="B12" s="2" t="s">
        <v>161</v>
      </c>
      <c r="C12" s="36">
        <v>119892</v>
      </c>
      <c r="D12" s="4">
        <f t="shared" si="0"/>
        <v>17</v>
      </c>
    </row>
    <row r="13" spans="2:11">
      <c r="B13" s="2" t="s">
        <v>162</v>
      </c>
      <c r="C13" s="36">
        <v>800000</v>
      </c>
      <c r="D13" s="4">
        <f t="shared" si="0"/>
        <v>1</v>
      </c>
    </row>
    <row r="14" spans="2:11">
      <c r="B14" s="2" t="s">
        <v>163</v>
      </c>
      <c r="C14" s="36">
        <v>38908</v>
      </c>
      <c r="D14" s="4">
        <f t="shared" si="0"/>
        <v>18</v>
      </c>
    </row>
    <row r="15" spans="2:11">
      <c r="B15" s="2" t="s">
        <v>164</v>
      </c>
      <c r="C15" s="36">
        <v>270390</v>
      </c>
      <c r="D15" s="4">
        <f t="shared" si="0"/>
        <v>10</v>
      </c>
    </row>
    <row r="16" spans="2:11">
      <c r="B16" s="2" t="s">
        <v>165</v>
      </c>
      <c r="C16" s="36">
        <v>236537</v>
      </c>
      <c r="D16" s="4">
        <f t="shared" si="0"/>
        <v>11</v>
      </c>
    </row>
    <row r="17" spans="2:4">
      <c r="B17" s="2" t="s">
        <v>166</v>
      </c>
      <c r="C17" s="36">
        <v>127930</v>
      </c>
      <c r="D17" s="4">
        <f t="shared" si="0"/>
        <v>16</v>
      </c>
    </row>
    <row r="18" spans="2:4">
      <c r="B18" s="2" t="s">
        <v>167</v>
      </c>
      <c r="C18" s="36">
        <v>317351</v>
      </c>
      <c r="D18" s="4">
        <f t="shared" si="0"/>
        <v>8</v>
      </c>
    </row>
    <row r="19" spans="2:4">
      <c r="B19" s="2" t="s">
        <v>168</v>
      </c>
      <c r="C19" s="36">
        <v>194724</v>
      </c>
      <c r="D19" s="4">
        <f t="shared" si="0"/>
        <v>14</v>
      </c>
    </row>
    <row r="20" spans="2:4">
      <c r="B20" s="2" t="s">
        <v>169</v>
      </c>
      <c r="C20" s="36">
        <v>229403</v>
      </c>
      <c r="D20" s="4">
        <f t="shared" si="0"/>
        <v>13</v>
      </c>
    </row>
    <row r="21" spans="2:4">
      <c r="B21" s="2" t="s">
        <v>170</v>
      </c>
      <c r="C21" s="36">
        <v>357987</v>
      </c>
      <c r="D21" s="4">
        <f t="shared" si="0"/>
        <v>5</v>
      </c>
    </row>
    <row r="22" spans="2:4">
      <c r="B22" s="2" t="s">
        <v>171</v>
      </c>
      <c r="C22" s="36">
        <v>342102</v>
      </c>
      <c r="D22" s="4">
        <f t="shared" si="0"/>
        <v>6</v>
      </c>
    </row>
    <row r="23" spans="2:4">
      <c r="B23" s="2" t="s">
        <v>172</v>
      </c>
      <c r="C23" s="36">
        <v>272175</v>
      </c>
      <c r="D23" s="4">
        <f t="shared" si="0"/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N11"/>
  <sheetViews>
    <sheetView topLeftCell="A11" workbookViewId="0">
      <selection activeCell="J16" sqref="J16"/>
    </sheetView>
  </sheetViews>
  <sheetFormatPr defaultRowHeight="14.4"/>
  <cols>
    <col min="2" max="2" width="7.5546875" customWidth="1"/>
    <col min="3" max="3" width="3.33203125" customWidth="1"/>
    <col min="4" max="4" width="8.33203125" customWidth="1"/>
    <col min="5" max="5" width="11.44140625" customWidth="1"/>
    <col min="6" max="6" width="10" customWidth="1"/>
    <col min="7" max="7" width="14.5546875" customWidth="1"/>
    <col min="8" max="8" width="10.6640625" customWidth="1"/>
    <col min="9" max="9" width="13.6640625" customWidth="1"/>
    <col min="13" max="13" width="12.6640625" customWidth="1"/>
  </cols>
  <sheetData>
    <row r="1" spans="1:14">
      <c r="A1" s="62" t="s">
        <v>0</v>
      </c>
      <c r="B1" s="63"/>
      <c r="D1" s="25" t="s">
        <v>8</v>
      </c>
      <c r="E1" s="25" t="s">
        <v>9</v>
      </c>
      <c r="F1" s="25" t="s">
        <v>10</v>
      </c>
      <c r="G1" s="48" t="s">
        <v>11</v>
      </c>
    </row>
    <row r="2" spans="1:14">
      <c r="A2" s="5" t="s">
        <v>1</v>
      </c>
      <c r="B2" s="3">
        <v>0.12</v>
      </c>
      <c r="D2" s="49" t="s">
        <v>1</v>
      </c>
      <c r="E2" s="4">
        <v>2000</v>
      </c>
      <c r="F2" s="4">
        <f t="shared" ref="F2:F11" si="0">MATCH(D2,$A$2:$A$5,0)</f>
        <v>1</v>
      </c>
      <c r="G2" s="45">
        <f t="shared" ref="G2:G11" si="1">INDEX($A$2:$B$5,MATCH(D2,$A$2:$A$5,0),2)</f>
        <v>0.12</v>
      </c>
    </row>
    <row r="3" spans="1:14">
      <c r="A3" s="5" t="s">
        <v>2</v>
      </c>
      <c r="B3" s="3">
        <v>0.14000000000000001</v>
      </c>
      <c r="D3" s="49" t="s">
        <v>2</v>
      </c>
      <c r="E3" s="4">
        <v>2100</v>
      </c>
      <c r="F3" s="4">
        <f t="shared" si="0"/>
        <v>2</v>
      </c>
      <c r="G3" s="45">
        <f t="shared" si="1"/>
        <v>0.14000000000000001</v>
      </c>
    </row>
    <row r="4" spans="1:14">
      <c r="A4" s="5" t="s">
        <v>3</v>
      </c>
      <c r="B4" s="3">
        <v>0.09</v>
      </c>
      <c r="D4" s="49" t="s">
        <v>1</v>
      </c>
      <c r="E4" s="4">
        <v>5000</v>
      </c>
      <c r="F4" s="4">
        <f t="shared" si="0"/>
        <v>1</v>
      </c>
      <c r="G4" s="45">
        <f t="shared" si="1"/>
        <v>0.12</v>
      </c>
      <c r="M4" s="4" t="s">
        <v>12</v>
      </c>
      <c r="N4" s="4" t="s">
        <v>1</v>
      </c>
    </row>
    <row r="5" spans="1:14">
      <c r="A5" s="5" t="s">
        <v>4</v>
      </c>
      <c r="B5" s="3">
        <v>0.2</v>
      </c>
      <c r="D5" s="49" t="s">
        <v>1</v>
      </c>
      <c r="E5" s="4">
        <v>1200</v>
      </c>
      <c r="F5" s="4">
        <f t="shared" si="0"/>
        <v>1</v>
      </c>
      <c r="G5" s="45">
        <f t="shared" si="1"/>
        <v>0.12</v>
      </c>
      <c r="M5" s="4" t="s">
        <v>9</v>
      </c>
      <c r="N5" s="4">
        <f>VLOOKUP(N4,D1:E11,2,0)</f>
        <v>2000</v>
      </c>
    </row>
    <row r="6" spans="1:14">
      <c r="D6" s="49" t="s">
        <v>2</v>
      </c>
      <c r="E6" s="4">
        <v>5400</v>
      </c>
      <c r="F6" s="4">
        <f t="shared" si="0"/>
        <v>2</v>
      </c>
      <c r="G6" s="45">
        <f t="shared" si="1"/>
        <v>0.14000000000000001</v>
      </c>
    </row>
    <row r="7" spans="1:14">
      <c r="D7" s="49" t="s">
        <v>3</v>
      </c>
      <c r="E7" s="4">
        <v>4330</v>
      </c>
      <c r="F7" s="4">
        <f t="shared" si="0"/>
        <v>3</v>
      </c>
      <c r="G7" s="45">
        <f t="shared" si="1"/>
        <v>0.09</v>
      </c>
    </row>
    <row r="8" spans="1:14">
      <c r="D8" s="49" t="s">
        <v>4</v>
      </c>
      <c r="E8" s="4">
        <v>3200</v>
      </c>
      <c r="F8" s="4">
        <f t="shared" si="0"/>
        <v>4</v>
      </c>
      <c r="G8" s="45">
        <f t="shared" si="1"/>
        <v>0.2</v>
      </c>
    </row>
    <row r="9" spans="1:14">
      <c r="D9" s="49" t="s">
        <v>4</v>
      </c>
      <c r="E9" s="4">
        <v>4542</v>
      </c>
      <c r="F9" s="4">
        <f t="shared" si="0"/>
        <v>4</v>
      </c>
      <c r="G9" s="45">
        <f t="shared" si="1"/>
        <v>0.2</v>
      </c>
    </row>
    <row r="10" spans="1:14">
      <c r="D10" s="49" t="s">
        <v>2</v>
      </c>
      <c r="E10" s="4">
        <v>9823</v>
      </c>
      <c r="F10" s="4">
        <f t="shared" si="0"/>
        <v>2</v>
      </c>
      <c r="G10" s="45">
        <f t="shared" si="1"/>
        <v>0.14000000000000001</v>
      </c>
    </row>
    <row r="11" spans="1:14">
      <c r="D11" s="49" t="s">
        <v>2</v>
      </c>
      <c r="E11" s="4">
        <v>1235</v>
      </c>
      <c r="F11" s="4">
        <f t="shared" si="0"/>
        <v>2</v>
      </c>
      <c r="G11" s="45">
        <f t="shared" si="1"/>
        <v>0.14000000000000001</v>
      </c>
    </row>
  </sheetData>
  <mergeCells count="1">
    <mergeCell ref="A1:B1"/>
  </mergeCells>
  <dataValidations count="1">
    <dataValidation type="list" allowBlank="1" showInputMessage="1" showErrorMessage="1" sqref="N4" xr:uid="{00000000-0002-0000-0500-000000000000}">
      <formula1>$A$2:$A$5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M11"/>
  <sheetViews>
    <sheetView workbookViewId="0">
      <selection activeCell="C11" sqref="C11"/>
    </sheetView>
  </sheetViews>
  <sheetFormatPr defaultRowHeight="14.4"/>
  <cols>
    <col min="2" max="2" width="12" bestFit="1" customWidth="1"/>
    <col min="3" max="3" width="15.109375" bestFit="1" customWidth="1"/>
    <col min="4" max="4" width="10.44140625" bestFit="1" customWidth="1"/>
    <col min="5" max="5" width="4.109375" customWidth="1"/>
    <col min="6" max="6" width="5" customWidth="1"/>
    <col min="7" max="7" width="7.6640625" style="52" customWidth="1"/>
    <col min="8" max="8" width="13.6640625" customWidth="1"/>
    <col min="12" max="12" width="12.6640625" customWidth="1"/>
  </cols>
  <sheetData>
    <row r="1" spans="1:13">
      <c r="A1" s="25" t="s">
        <v>8</v>
      </c>
      <c r="B1" s="25" t="s">
        <v>9</v>
      </c>
      <c r="C1" s="48" t="s">
        <v>208</v>
      </c>
      <c r="D1" s="51" t="s">
        <v>207</v>
      </c>
      <c r="F1" s="62" t="s">
        <v>0</v>
      </c>
      <c r="G1" s="63"/>
    </row>
    <row r="2" spans="1:13">
      <c r="A2" s="49" t="s">
        <v>1</v>
      </c>
      <c r="B2" s="4">
        <v>2000</v>
      </c>
      <c r="C2" s="45">
        <f t="shared" ref="C2:C11" si="0">INDEX($F$2:$G$5,MATCH(A2,$F$2:$F$5,0),2)</f>
        <v>0.12</v>
      </c>
      <c r="D2" s="50">
        <v>57</v>
      </c>
      <c r="F2" s="49" t="s">
        <v>1</v>
      </c>
      <c r="G2" s="53">
        <v>0.12</v>
      </c>
    </row>
    <row r="3" spans="1:13">
      <c r="A3" s="49" t="s">
        <v>2</v>
      </c>
      <c r="B3" s="4">
        <v>2100</v>
      </c>
      <c r="C3" s="45">
        <f t="shared" si="0"/>
        <v>0.14000000000000001</v>
      </c>
      <c r="D3" s="50">
        <v>46</v>
      </c>
      <c r="F3" s="49" t="s">
        <v>2</v>
      </c>
      <c r="G3" s="53">
        <v>0.14000000000000001</v>
      </c>
    </row>
    <row r="4" spans="1:13">
      <c r="A4" s="49" t="s">
        <v>1</v>
      </c>
      <c r="B4" s="4">
        <v>5000</v>
      </c>
      <c r="C4" s="45">
        <f t="shared" si="0"/>
        <v>0.12</v>
      </c>
      <c r="D4" s="50">
        <v>27</v>
      </c>
      <c r="F4" s="49" t="s">
        <v>3</v>
      </c>
      <c r="G4" s="53">
        <v>0.09</v>
      </c>
      <c r="L4" s="4" t="s">
        <v>12</v>
      </c>
      <c r="M4" s="4" t="s">
        <v>1</v>
      </c>
    </row>
    <row r="5" spans="1:13">
      <c r="A5" s="49" t="s">
        <v>1</v>
      </c>
      <c r="B5" s="4">
        <v>1200</v>
      </c>
      <c r="C5" s="45">
        <f t="shared" si="0"/>
        <v>0.12</v>
      </c>
      <c r="D5" s="50">
        <v>72</v>
      </c>
      <c r="F5" s="49" t="s">
        <v>4</v>
      </c>
      <c r="G5" s="53">
        <v>0.2</v>
      </c>
      <c r="L5" s="4" t="s">
        <v>9</v>
      </c>
      <c r="M5" s="4">
        <f>VLOOKUP(M4,A1:B11,2,0)</f>
        <v>2000</v>
      </c>
    </row>
    <row r="6" spans="1:13">
      <c r="A6" s="49" t="s">
        <v>2</v>
      </c>
      <c r="B6" s="4">
        <v>5400</v>
      </c>
      <c r="C6" s="45">
        <f t="shared" si="0"/>
        <v>0.14000000000000001</v>
      </c>
      <c r="D6" s="50">
        <v>76</v>
      </c>
    </row>
    <row r="7" spans="1:13">
      <c r="A7" s="49" t="s">
        <v>3</v>
      </c>
      <c r="B7" s="4">
        <v>4330</v>
      </c>
      <c r="C7" s="45">
        <f t="shared" si="0"/>
        <v>0.09</v>
      </c>
      <c r="D7" s="50">
        <v>69</v>
      </c>
    </row>
    <row r="8" spans="1:13">
      <c r="A8" s="49" t="s">
        <v>4</v>
      </c>
      <c r="B8" s="4">
        <v>3200</v>
      </c>
      <c r="C8" s="45">
        <f t="shared" si="0"/>
        <v>0.2</v>
      </c>
      <c r="D8" s="50">
        <v>28</v>
      </c>
    </row>
    <row r="9" spans="1:13">
      <c r="A9" s="49" t="s">
        <v>4</v>
      </c>
      <c r="B9" s="4">
        <v>4542</v>
      </c>
      <c r="C9" s="45">
        <f t="shared" si="0"/>
        <v>0.2</v>
      </c>
      <c r="D9" s="50">
        <v>57</v>
      </c>
    </row>
    <row r="10" spans="1:13">
      <c r="A10" s="49" t="s">
        <v>2</v>
      </c>
      <c r="B10" s="4">
        <v>9823</v>
      </c>
      <c r="C10" s="45">
        <f t="shared" si="0"/>
        <v>0.14000000000000001</v>
      </c>
      <c r="D10" s="50">
        <v>70</v>
      </c>
    </row>
    <row r="11" spans="1:13">
      <c r="A11" s="49" t="s">
        <v>2</v>
      </c>
      <c r="B11" s="4">
        <v>1235</v>
      </c>
      <c r="C11" s="45">
        <f t="shared" si="0"/>
        <v>0.14000000000000001</v>
      </c>
      <c r="D11" s="50">
        <v>27</v>
      </c>
    </row>
  </sheetData>
  <mergeCells count="1">
    <mergeCell ref="F1:G1"/>
  </mergeCells>
  <dataValidations count="1">
    <dataValidation type="list" allowBlank="1" showInputMessage="1" showErrorMessage="1" sqref="M4" xr:uid="{00000000-0002-0000-0600-000000000000}">
      <formula1>$F$2:$F$5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6A80-786E-442E-A32B-43DDAC112964}">
  <dimension ref="A1:C17"/>
  <sheetViews>
    <sheetView topLeftCell="A12" workbookViewId="0">
      <selection activeCell="B7" sqref="B7"/>
    </sheetView>
  </sheetViews>
  <sheetFormatPr defaultRowHeight="14.4"/>
  <cols>
    <col min="1" max="1" width="18.5546875" customWidth="1"/>
    <col min="2" max="2" width="13.109375" customWidth="1"/>
  </cols>
  <sheetData>
    <row r="1" spans="1:3" ht="15" thickBot="1">
      <c r="A1" s="54" t="s">
        <v>94</v>
      </c>
      <c r="B1" s="54" t="s">
        <v>209</v>
      </c>
      <c r="C1" s="54" t="s">
        <v>210</v>
      </c>
    </row>
    <row r="2" spans="1:3" ht="15" thickBot="1">
      <c r="A2" s="55" t="s">
        <v>13</v>
      </c>
      <c r="B2" s="55" t="s">
        <v>211</v>
      </c>
      <c r="C2" s="57">
        <v>50000</v>
      </c>
    </row>
    <row r="3" spans="1:3" ht="15" thickBot="1">
      <c r="A3" s="56" t="s">
        <v>28</v>
      </c>
      <c r="B3" s="56" t="s">
        <v>212</v>
      </c>
      <c r="C3" s="58">
        <v>60000</v>
      </c>
    </row>
    <row r="4" spans="1:3" ht="15" thickBot="1">
      <c r="A4" s="55" t="s">
        <v>19</v>
      </c>
      <c r="B4" s="55" t="s">
        <v>213</v>
      </c>
      <c r="C4" s="57">
        <v>40000</v>
      </c>
    </row>
    <row r="6" spans="1:3">
      <c r="B6" t="str">
        <f>INDEX(A1:C4,3,2)</f>
        <v>Osmangazi</v>
      </c>
    </row>
    <row r="7" spans="1:3">
      <c r="A7" s="59" t="s">
        <v>214</v>
      </c>
      <c r="B7" t="str">
        <f>INDEX(A1:C4,MATCH(MAX(C1:C4),C1:C4,0),1)</f>
        <v>Bursa</v>
      </c>
    </row>
    <row r="9" spans="1:3">
      <c r="B9" s="60"/>
    </row>
    <row r="10" spans="1:3">
      <c r="B10" t="str">
        <f>INDEX(A1:C4,MATCH(MAX(C1:C4),C1:C4,0),1)</f>
        <v>Bursa</v>
      </c>
    </row>
    <row r="11" spans="1:3">
      <c r="B11" s="60"/>
    </row>
    <row r="14" spans="1:3">
      <c r="B14" t="str">
        <f>INDEX(A2:C4,3,1)</f>
        <v>Antalya</v>
      </c>
    </row>
    <row r="15" spans="1:3">
      <c r="B15" t="str">
        <f>INDEX(A1:C4,3,1)</f>
        <v>Bursa</v>
      </c>
    </row>
    <row r="16" spans="1:3">
      <c r="B16" t="str">
        <f>INDEX(A1:A4,3,1)</f>
        <v>Bursa</v>
      </c>
    </row>
    <row r="17" spans="2:2">
      <c r="B17" s="60" t="str">
        <f>INDEX(B1:B4,3,1)</f>
        <v>Osmangazi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Plaka Örneği (KAÇINCI)</vt:lpstr>
      <vt:lpstr>Plaka İndis</vt:lpstr>
      <vt:lpstr>İndis Giriş</vt:lpstr>
      <vt:lpstr>Personel Örneği</vt:lpstr>
      <vt:lpstr>Satış Temsilcisi</vt:lpstr>
      <vt:lpstr>Komisyon Örneği</vt:lpstr>
      <vt:lpstr>Komisyon Örneği (2)</vt:lpstr>
      <vt:lpstr>Şehir - İlçe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2022-12-28T13:50:07Z</dcterms:modified>
</cp:coreProperties>
</file>